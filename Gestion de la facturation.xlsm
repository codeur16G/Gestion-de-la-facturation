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5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OULOLO\OneDrive\Bureau\Dashboard-excel\"/>
    </mc:Choice>
  </mc:AlternateContent>
  <xr:revisionPtr revIDLastSave="0" documentId="13_ncr:1_{F16859E1-9071-4284-84B2-90EAEAB50105}" xr6:coauthVersionLast="36" xr6:coauthVersionMax="46" xr10:uidLastSave="{00000000-0000-0000-0000-000000000000}"/>
  <bookViews>
    <workbookView xWindow="0" yWindow="0" windowWidth="13248" windowHeight="6900" xr2:uid="{00000000-000D-0000-FFFF-FFFF00000000}"/>
  </bookViews>
  <sheets>
    <sheet name="Dashboard" sheetId="8" r:id="rId1"/>
    <sheet name="Traitement" sheetId="9" r:id="rId2"/>
    <sheet name="Devis" sheetId="1" r:id="rId3"/>
    <sheet name="Commande" sheetId="4" r:id="rId4"/>
    <sheet name="Livraison" sheetId="5" r:id="rId5"/>
    <sheet name="Facture" sheetId="6" r:id="rId6"/>
    <sheet name="Liste Factures" sheetId="7" r:id="rId7"/>
    <sheet name="Parameters" sheetId="3" r:id="rId8"/>
  </sheets>
  <definedNames>
    <definedName name="Segment_Années">#N/A</definedName>
    <definedName name="Segment_DATE">#N/A</definedName>
    <definedName name="_xlnm.Print_Area" localSheetId="3">Commande!$C$6:$M$53</definedName>
    <definedName name="_xlnm.Print_Area" localSheetId="2">Devis!$C$6:$M$53</definedName>
    <definedName name="_xlnm.Print_Area" localSheetId="5">Facture!$C$8:$M$55</definedName>
    <definedName name="_xlnm.Print_Area" localSheetId="4">Livraison!$C$6:$M$53</definedName>
  </definedNames>
  <calcPr calcId="191029"/>
  <pivotCaches>
    <pivotCache cacheId="0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5" i="7" l="1"/>
  <c r="AB22" i="8"/>
  <c r="B2" i="9"/>
  <c r="AA22" i="8"/>
  <c r="AA23" i="8"/>
  <c r="AA24" i="8"/>
  <c r="AC23" i="8"/>
  <c r="AE25" i="8"/>
  <c r="AA25" i="8"/>
  <c r="AC24" i="8"/>
  <c r="AD22" i="8"/>
  <c r="AD23" i="8"/>
  <c r="AD25" i="8"/>
  <c r="AC22" i="8"/>
  <c r="AE24" i="8"/>
  <c r="AB25" i="8"/>
  <c r="AD24" i="8"/>
  <c r="AE22" i="8"/>
  <c r="AB24" i="8"/>
  <c r="AB23" i="8"/>
  <c r="AE23" i="8"/>
  <c r="AC25" i="8"/>
  <c r="H61" i="6" l="1"/>
  <c r="E54" i="6"/>
  <c r="E48" i="6"/>
  <c r="H34" i="6"/>
  <c r="J34" i="6" s="1"/>
  <c r="E34" i="6"/>
  <c r="H33" i="6"/>
  <c r="J33" i="6" s="1"/>
  <c r="E33" i="6"/>
  <c r="H32" i="6"/>
  <c r="J32" i="6" s="1"/>
  <c r="E32" i="6"/>
  <c r="H31" i="6"/>
  <c r="J31" i="6" s="1"/>
  <c r="E31" i="6"/>
  <c r="H30" i="6"/>
  <c r="J30" i="6" s="1"/>
  <c r="E30" i="6"/>
  <c r="H29" i="6"/>
  <c r="J29" i="6" s="1"/>
  <c r="E29" i="6"/>
  <c r="H28" i="6"/>
  <c r="J28" i="6" s="1"/>
  <c r="E28" i="6"/>
  <c r="H27" i="6"/>
  <c r="J27" i="6" s="1"/>
  <c r="E27" i="6"/>
  <c r="H26" i="6"/>
  <c r="J26" i="6" s="1"/>
  <c r="E26" i="6"/>
  <c r="H25" i="6"/>
  <c r="J25" i="6" s="1"/>
  <c r="E25" i="6"/>
  <c r="H24" i="6"/>
  <c r="J24" i="6" s="1"/>
  <c r="E24" i="6"/>
  <c r="H23" i="6"/>
  <c r="J23" i="6" s="1"/>
  <c r="E23" i="6"/>
  <c r="H22" i="6"/>
  <c r="J22" i="6" s="1"/>
  <c r="E22" i="6"/>
  <c r="I18" i="6"/>
  <c r="E18" i="6"/>
  <c r="I17" i="6"/>
  <c r="E17" i="6"/>
  <c r="E16" i="6"/>
  <c r="J10" i="6"/>
  <c r="H59" i="5"/>
  <c r="E52" i="5"/>
  <c r="E46" i="5"/>
  <c r="H32" i="5"/>
  <c r="J32" i="5" s="1"/>
  <c r="E32" i="5"/>
  <c r="H31" i="5"/>
  <c r="J31" i="5" s="1"/>
  <c r="E31" i="5"/>
  <c r="H30" i="5"/>
  <c r="J30" i="5" s="1"/>
  <c r="E30" i="5"/>
  <c r="H29" i="5"/>
  <c r="J29" i="5" s="1"/>
  <c r="E29" i="5"/>
  <c r="H28" i="5"/>
  <c r="J28" i="5" s="1"/>
  <c r="E28" i="5"/>
  <c r="H27" i="5"/>
  <c r="J27" i="5" s="1"/>
  <c r="E27" i="5"/>
  <c r="H26" i="5"/>
  <c r="J26" i="5" s="1"/>
  <c r="E26" i="5"/>
  <c r="H25" i="5"/>
  <c r="J25" i="5" s="1"/>
  <c r="E25" i="5"/>
  <c r="H24" i="5"/>
  <c r="J24" i="5" s="1"/>
  <c r="E24" i="5"/>
  <c r="H23" i="5"/>
  <c r="J23" i="5" s="1"/>
  <c r="E23" i="5"/>
  <c r="H22" i="5"/>
  <c r="J22" i="5" s="1"/>
  <c r="E22" i="5"/>
  <c r="H21" i="5"/>
  <c r="J21" i="5" s="1"/>
  <c r="E21" i="5"/>
  <c r="H20" i="5"/>
  <c r="J20" i="5" s="1"/>
  <c r="E20" i="5"/>
  <c r="I16" i="5"/>
  <c r="E16" i="5"/>
  <c r="I15" i="5"/>
  <c r="E15" i="5"/>
  <c r="E14" i="5"/>
  <c r="J8" i="5"/>
  <c r="C2" i="9"/>
  <c r="J36" i="6" l="1"/>
  <c r="J37" i="6" s="1"/>
  <c r="J38" i="6" s="1"/>
  <c r="J34" i="5"/>
  <c r="H59" i="4"/>
  <c r="E52" i="4"/>
  <c r="E46" i="4"/>
  <c r="H32" i="4"/>
  <c r="J32" i="4" s="1"/>
  <c r="E32" i="4"/>
  <c r="H31" i="4"/>
  <c r="J31" i="4" s="1"/>
  <c r="E31" i="4"/>
  <c r="H30" i="4"/>
  <c r="J30" i="4" s="1"/>
  <c r="E30" i="4"/>
  <c r="H29" i="4"/>
  <c r="J29" i="4" s="1"/>
  <c r="E29" i="4"/>
  <c r="H28" i="4"/>
  <c r="J28" i="4" s="1"/>
  <c r="E28" i="4"/>
  <c r="H27" i="4"/>
  <c r="J27" i="4" s="1"/>
  <c r="E27" i="4"/>
  <c r="H26" i="4"/>
  <c r="J26" i="4" s="1"/>
  <c r="E26" i="4"/>
  <c r="H25" i="4"/>
  <c r="J25" i="4" s="1"/>
  <c r="E25" i="4"/>
  <c r="H24" i="4"/>
  <c r="J24" i="4" s="1"/>
  <c r="E24" i="4"/>
  <c r="H23" i="4"/>
  <c r="J23" i="4" s="1"/>
  <c r="E23" i="4"/>
  <c r="H22" i="4"/>
  <c r="J22" i="4" s="1"/>
  <c r="E22" i="4"/>
  <c r="H21" i="4"/>
  <c r="J21" i="4" s="1"/>
  <c r="E21" i="4"/>
  <c r="H20" i="4"/>
  <c r="J20" i="4" s="1"/>
  <c r="E20" i="4"/>
  <c r="I16" i="4"/>
  <c r="E16" i="4"/>
  <c r="I15" i="4"/>
  <c r="E15" i="4"/>
  <c r="E14" i="4"/>
  <c r="J8" i="4"/>
  <c r="J35" i="5" l="1"/>
  <c r="J36" i="5" s="1"/>
  <c r="J34" i="4"/>
  <c r="J8" i="1"/>
  <c r="E14" i="1"/>
  <c r="E15" i="1"/>
  <c r="I15" i="1"/>
  <c r="E16" i="1"/>
  <c r="I16" i="1"/>
  <c r="E20" i="1"/>
  <c r="H20" i="1"/>
  <c r="J20" i="1" s="1"/>
  <c r="E21" i="1"/>
  <c r="H21" i="1"/>
  <c r="J21" i="1" s="1"/>
  <c r="E22" i="1"/>
  <c r="H22" i="1"/>
  <c r="J22" i="1" s="1"/>
  <c r="E23" i="1"/>
  <c r="H23" i="1"/>
  <c r="J23" i="1" s="1"/>
  <c r="E24" i="1"/>
  <c r="H24" i="1"/>
  <c r="J24" i="1" s="1"/>
  <c r="E25" i="1"/>
  <c r="H25" i="1"/>
  <c r="J25" i="1" s="1"/>
  <c r="E26" i="1"/>
  <c r="H26" i="1"/>
  <c r="J26" i="1" s="1"/>
  <c r="E27" i="1"/>
  <c r="H27" i="1"/>
  <c r="J27" i="1" s="1"/>
  <c r="E28" i="1"/>
  <c r="H28" i="1"/>
  <c r="J28" i="1" s="1"/>
  <c r="E29" i="1"/>
  <c r="H29" i="1"/>
  <c r="J29" i="1" s="1"/>
  <c r="E30" i="1"/>
  <c r="H30" i="1"/>
  <c r="J30" i="1" s="1"/>
  <c r="E31" i="1"/>
  <c r="H31" i="1"/>
  <c r="J31" i="1" s="1"/>
  <c r="E32" i="1"/>
  <c r="H32" i="1"/>
  <c r="J32" i="1" s="1"/>
  <c r="E46" i="1"/>
  <c r="E52" i="1"/>
  <c r="J35" i="4" l="1"/>
  <c r="J36" i="4" s="1"/>
  <c r="J34" i="1"/>
  <c r="H59" i="1"/>
  <c r="J35" i="1" l="1"/>
  <c r="J36" i="1" s="1"/>
</calcChain>
</file>

<file path=xl/sharedStrings.xml><?xml version="1.0" encoding="utf-8"?>
<sst xmlns="http://schemas.openxmlformats.org/spreadsheetml/2006/main" count="623" uniqueCount="246">
  <si>
    <t xml:space="preserve">Mathieu Bernard </t>
  </si>
  <si>
    <t>PRIX</t>
  </si>
  <si>
    <t>DÉSIGNATION</t>
  </si>
  <si>
    <t>RÉFÉRENCE</t>
  </si>
  <si>
    <t xml:space="preserve">41, rue Desaix 75012 Paris </t>
  </si>
  <si>
    <t>Veuillez saisir adresses des dossiers d'enregistrement</t>
  </si>
  <si>
    <t>Veuillez saisir les informations des produits</t>
  </si>
  <si>
    <t>Veuillez saisir les informations de l'entreprise</t>
  </si>
  <si>
    <t>Veuillez saisir les informations des clients</t>
  </si>
  <si>
    <t xml:space="preserve">Site </t>
  </si>
  <si>
    <t xml:space="preserve">Email </t>
  </si>
  <si>
    <t xml:space="preserve">Télé </t>
  </si>
  <si>
    <t xml:space="preserve">Adresse </t>
  </si>
  <si>
    <t xml:space="preserve">Nom </t>
  </si>
  <si>
    <t xml:space="preserve">Devis </t>
  </si>
  <si>
    <t xml:space="preserve">Bon commande </t>
  </si>
  <si>
    <t xml:space="preserve">Bon livraision </t>
  </si>
  <si>
    <t xml:space="preserve">Facture </t>
  </si>
  <si>
    <t>NOM</t>
  </si>
  <si>
    <t>ADRESSE</t>
  </si>
  <si>
    <t>TELEPHONE</t>
  </si>
  <si>
    <r>
      <t>Informations de l'</t>
    </r>
    <r>
      <rPr>
        <sz val="12"/>
        <color rgb="FF3C41CD"/>
        <rFont val="Open Sans SemiBold"/>
        <family val="2"/>
      </rPr>
      <t>entreprise</t>
    </r>
  </si>
  <si>
    <r>
      <t>Dossiers d'</t>
    </r>
    <r>
      <rPr>
        <sz val="12"/>
        <color rgb="FF3C41CD"/>
        <rFont val="Open Sans SemiBold"/>
        <family val="2"/>
      </rPr>
      <t>enregistrement</t>
    </r>
  </si>
  <si>
    <r>
      <t xml:space="preserve">Informations des </t>
    </r>
    <r>
      <rPr>
        <sz val="12"/>
        <color rgb="FF3C41CD"/>
        <rFont val="Open Sans SemiBold"/>
        <family val="2"/>
      </rPr>
      <t>produits</t>
    </r>
  </si>
  <si>
    <r>
      <t xml:space="preserve">Information des </t>
    </r>
    <r>
      <rPr>
        <sz val="12"/>
        <color rgb="FF3C41CD"/>
        <rFont val="Open Sans SemiBold"/>
        <family val="2"/>
      </rPr>
      <t>clients</t>
    </r>
  </si>
  <si>
    <t>Iphone 13 Pro</t>
  </si>
  <si>
    <t>S1</t>
  </si>
  <si>
    <t>SAMSUNG GALAXY S22</t>
  </si>
  <si>
    <t>S2</t>
  </si>
  <si>
    <t>S3</t>
  </si>
  <si>
    <t>XIAOMI 12</t>
  </si>
  <si>
    <t>Drone DJI Mini 3 Pro</t>
  </si>
  <si>
    <t>Canon EOS R7</t>
  </si>
  <si>
    <t>Canon EOS R8</t>
  </si>
  <si>
    <t>F1</t>
  </si>
  <si>
    <t>F2</t>
  </si>
  <si>
    <t>F3</t>
  </si>
  <si>
    <t>Nintendo Switch</t>
  </si>
  <si>
    <t>Console Sony PS5 </t>
  </si>
  <si>
    <t>Oculus Quest 2</t>
  </si>
  <si>
    <t>Xbox Series X</t>
  </si>
  <si>
    <t>C1</t>
  </si>
  <si>
    <t>C2</t>
  </si>
  <si>
    <t>C3</t>
  </si>
  <si>
    <t>C4</t>
  </si>
  <si>
    <t>C5</t>
  </si>
  <si>
    <t>Samsung Galaxy Tab S8</t>
  </si>
  <si>
    <t>iPad Air 10,9</t>
  </si>
  <si>
    <t>Huawei MatePad 11</t>
  </si>
  <si>
    <t>Apple AirPods 2 </t>
  </si>
  <si>
    <t>T1</t>
  </si>
  <si>
    <t>T2</t>
  </si>
  <si>
    <t>T3</t>
  </si>
  <si>
    <t>E1</t>
  </si>
  <si>
    <t>Jabra Elite Active </t>
  </si>
  <si>
    <t>E2</t>
  </si>
  <si>
    <t>E3</t>
  </si>
  <si>
    <t>Sony WH1000XM4</t>
  </si>
  <si>
    <t xml:space="preserve">AirPods Max </t>
  </si>
  <si>
    <t>Apple Watch Series 7</t>
  </si>
  <si>
    <t>W1</t>
  </si>
  <si>
    <t>W2</t>
  </si>
  <si>
    <t>W3</t>
  </si>
  <si>
    <t>Gracia Cestin</t>
  </si>
  <si>
    <t>Emmanuel Edgardo</t>
  </si>
  <si>
    <t>Louinord Joseph</t>
  </si>
  <si>
    <t>Pauline Lamothe</t>
  </si>
  <si>
    <t>Olivier Jean-Louis</t>
  </si>
  <si>
    <t>Eddy Luckecy</t>
  </si>
  <si>
    <t>Guillaum Thimothe</t>
  </si>
  <si>
    <t>Anne Marie Marquant</t>
  </si>
  <si>
    <t>Fedline Joseph</t>
  </si>
  <si>
    <t>Roland Dely</t>
  </si>
  <si>
    <t>Senophat Benjamin</t>
  </si>
  <si>
    <t>Magalie Harold</t>
  </si>
  <si>
    <t>Laurianne Fleur</t>
  </si>
  <si>
    <t>Dieuper Boudam</t>
  </si>
  <si>
    <t>Andreas Pierre</t>
  </si>
  <si>
    <t>Mathias Mueller</t>
  </si>
  <si>
    <t>Daniel Alexandre</t>
  </si>
  <si>
    <t>Raymond Dupiton</t>
  </si>
  <si>
    <t>Jean Jacques</t>
  </si>
  <si>
    <t>Monique Pierre</t>
  </si>
  <si>
    <t>Gérard Monrosty</t>
  </si>
  <si>
    <t>Richard Risler</t>
  </si>
  <si>
    <t>10, rue Cambacérès 75008 Paris</t>
  </si>
  <si>
    <t>01 42 66 68 49</t>
  </si>
  <si>
    <t>04 77 81 15 15</t>
  </si>
  <si>
    <t>BP 65054 31033 Toulouse</t>
  </si>
  <si>
    <t>01 58 22 17 10</t>
  </si>
  <si>
    <t>3-5 av. Esquirol 69003 Lyon</t>
  </si>
  <si>
    <t>04 72 11 29 99</t>
  </si>
  <si>
    <t>14, av. Duquesne 75350 Paris</t>
  </si>
  <si>
    <t>01 56 53 51 05</t>
  </si>
  <si>
    <t>88 av. Verdier 92120 Montrouge</t>
  </si>
  <si>
    <t>01 41 17 67 18</t>
  </si>
  <si>
    <t>04 77 49 42 42</t>
  </si>
  <si>
    <t>4, av. Duquesne 75350 Paris</t>
  </si>
  <si>
    <t>01 49 23 82 52</t>
  </si>
  <si>
    <t>290 route de Vienne 69355 Lyon</t>
  </si>
  <si>
    <t>04 37 90 13 07</t>
  </si>
  <si>
    <t>47 rue des Alliés 2030 St Etienne</t>
  </si>
  <si>
    <t>47 rue des Alliés 430 St Etienne</t>
  </si>
  <si>
    <t>12, villa Compoint 75017 Paris</t>
  </si>
  <si>
    <t>01 53 06 30 43</t>
  </si>
  <si>
    <t xml:space="preserve">Marshall Major IV </t>
  </si>
  <si>
    <t>Huawei Watch GT2</t>
  </si>
  <si>
    <t>Sony True Wireless</t>
  </si>
  <si>
    <t>Xbox One 500</t>
  </si>
  <si>
    <t>Emmanuel Collin</t>
  </si>
  <si>
    <t>Galaxy Watch4</t>
  </si>
  <si>
    <t>41, rue Desaix 75012 Paris</t>
  </si>
  <si>
    <t>06 11 22 33 44</t>
  </si>
  <si>
    <t>C:\Users\MOULOLO\OneDrive\Bureau\Dashboard-excel\Document\Devis</t>
  </si>
  <si>
    <t>C:\Users\MOULOLO\OneDrive\Bureau\Dashboard-excel\Document\Commande</t>
  </si>
  <si>
    <t>C:\Users\MOULOLO\OneDrive\Bureau\Dashboard-excel\Document\Livraison</t>
  </si>
  <si>
    <t>C:\Users\MOULOLO\OneDrive\Bureau\Dashboard-excel\Document\Factures</t>
  </si>
  <si>
    <t>DATE:</t>
  </si>
  <si>
    <t>N°:</t>
  </si>
  <si>
    <t>REFERENCE</t>
  </si>
  <si>
    <t>DESIGNATION</t>
  </si>
  <si>
    <t>Qté</t>
  </si>
  <si>
    <t>Total</t>
  </si>
  <si>
    <t>MONTANT TOTAL HT.</t>
  </si>
  <si>
    <t>TVA %20:</t>
  </si>
  <si>
    <t>MONTANT TOTAL TTC.</t>
  </si>
  <si>
    <t>MouloloEden</t>
  </si>
  <si>
    <t>moulololeden@gmail.com</t>
  </si>
  <si>
    <t>https://www.datascienceportfol.io/mouloloden</t>
  </si>
  <si>
    <t>N° FACTURE</t>
  </si>
  <si>
    <t>DATE</t>
  </si>
  <si>
    <t>CLIENT</t>
  </si>
  <si>
    <t>MONTANT TTC</t>
  </si>
  <si>
    <t>ETAT DE PAIEMENT</t>
  </si>
  <si>
    <t>MODE DE PAIEMENT</t>
  </si>
  <si>
    <t>DOCUMENT</t>
  </si>
  <si>
    <t>F2024-11-0005</t>
  </si>
  <si>
    <t>Impayée</t>
  </si>
  <si>
    <t>C:\Users\MOULOLO\OneDrive\Bureau\Dashboard-excel\Document\Factures\F2024-11-0005.pdf</t>
  </si>
  <si>
    <t>Consulter</t>
  </si>
  <si>
    <t>F2024-11-0006</t>
  </si>
  <si>
    <t>C:\Users\MOULOLO\OneDrive\Bureau\Dashboard-excel\Document\Factures\F2024-11-0006.pdf</t>
  </si>
  <si>
    <t>F2024-11-0007</t>
  </si>
  <si>
    <t>C:\Users\MOULOLO\OneDrive\Bureau\Dashboard-excel\Document\Factures\F2024-11-0007.pdf</t>
  </si>
  <si>
    <t>F2024-11-0008</t>
  </si>
  <si>
    <t>C:\Users\MOULOLO\OneDrive\Bureau\Dashboard-excel\Document\Factures\F2024-11-0008.pdf</t>
  </si>
  <si>
    <t>F2024-11-0009</t>
  </si>
  <si>
    <t>C:\Users\MOULOLO\OneDrive\Bureau\Dashboard-excel\Document\Factures\F2024-11-0009.pdf</t>
  </si>
  <si>
    <t>Payée</t>
  </si>
  <si>
    <t>Espèce</t>
  </si>
  <si>
    <t>Carte Bancaire</t>
  </si>
  <si>
    <t>L2024-11-0001</t>
  </si>
  <si>
    <t>C2024-11-0001</t>
  </si>
  <si>
    <t>F2024-11-0001</t>
  </si>
  <si>
    <t>C:\Users\MOULOLO\OneDrive\Bureau\Dashboard-excel\Document\Factures\F2024-11-0001.pdf</t>
  </si>
  <si>
    <t>F2024-11-0002</t>
  </si>
  <si>
    <t>C:\Users\MOULOLO\OneDrive\Bureau\Dashboard-excel\Document\Factures\F2024-11-0002.pdf</t>
  </si>
  <si>
    <t>F2024-11-0003</t>
  </si>
  <si>
    <t>C:\Users\MOULOLO\OneDrive\Bureau\Dashboard-excel\Document\Factures\F2024-11-0003.pdf</t>
  </si>
  <si>
    <t>F2024-11-0004</t>
  </si>
  <si>
    <t>C:\Users\MOULOLO\OneDrive\Bureau\Dashboard-excel\Document\Factures\F2024-11-0004.pdf</t>
  </si>
  <si>
    <t>Chèque</t>
  </si>
  <si>
    <t>Somme de MONTANT TTC</t>
  </si>
  <si>
    <t>Montant HT</t>
  </si>
  <si>
    <t>TVA</t>
  </si>
  <si>
    <t>Étiquettes de lignes</t>
  </si>
  <si>
    <t>Total général</t>
  </si>
  <si>
    <t>F2022-07-0037</t>
  </si>
  <si>
    <t>F2022-07-0036</t>
  </si>
  <si>
    <t>F2022-07-0035</t>
  </si>
  <si>
    <t>F2022-07-0034</t>
  </si>
  <si>
    <t>F2022-07-0033</t>
  </si>
  <si>
    <t>F2022-07-0032</t>
  </si>
  <si>
    <t>F2022-07-0031</t>
  </si>
  <si>
    <t>F2022-06-0030</t>
  </si>
  <si>
    <t>F2022-06-0029</t>
  </si>
  <si>
    <t>F2022-06-0028</t>
  </si>
  <si>
    <t>Carte bancaire</t>
  </si>
  <si>
    <t>F2022-06-0027</t>
  </si>
  <si>
    <t>F2022-06-0026</t>
  </si>
  <si>
    <t>F2022-05-0025</t>
  </si>
  <si>
    <t>F2022-05-0024</t>
  </si>
  <si>
    <t>F2022-05-0023</t>
  </si>
  <si>
    <t>F2022-05-0022</t>
  </si>
  <si>
    <t>F2022-05-0021</t>
  </si>
  <si>
    <t>F2022-04-0020</t>
  </si>
  <si>
    <t>F2022-04-0019</t>
  </si>
  <si>
    <t>F2022-04-0018</t>
  </si>
  <si>
    <t>F2022-04-0017</t>
  </si>
  <si>
    <t>F2022-04-0016</t>
  </si>
  <si>
    <t>F2022-03-0015</t>
  </si>
  <si>
    <t>F2022-03-0014</t>
  </si>
  <si>
    <t>F2022-03-0013</t>
  </si>
  <si>
    <t>F2022-03-0012</t>
  </si>
  <si>
    <t>F2022-03-0011</t>
  </si>
  <si>
    <t>F2022-02-0010</t>
  </si>
  <si>
    <t>F2022-02-0009</t>
  </si>
  <si>
    <t>F2022-02-0008</t>
  </si>
  <si>
    <t>F2022-02-0007</t>
  </si>
  <si>
    <t>F2022-02-0006</t>
  </si>
  <si>
    <t>F2022-01-0005</t>
  </si>
  <si>
    <t>F2022-01-0004</t>
  </si>
  <si>
    <t>F2022-01-0003</t>
  </si>
  <si>
    <t>F2022-01-0002</t>
  </si>
  <si>
    <t>F2022-01-0001</t>
  </si>
  <si>
    <t>F2021-12-0025</t>
  </si>
  <si>
    <t>F2021-12-0024</t>
  </si>
  <si>
    <t>F2021-12-0023</t>
  </si>
  <si>
    <t>F2021-12-0022</t>
  </si>
  <si>
    <t>F2021-11-0021</t>
  </si>
  <si>
    <t>F2021-11-0020</t>
  </si>
  <si>
    <t>F2021-11-0019</t>
  </si>
  <si>
    <t>F2021-11-0018</t>
  </si>
  <si>
    <t>F2021-11-0017</t>
  </si>
  <si>
    <t>F2021-10-0016</t>
  </si>
  <si>
    <t>F2021-10-0015</t>
  </si>
  <si>
    <t>F2021-10-0014</t>
  </si>
  <si>
    <t>F2021-10-0013</t>
  </si>
  <si>
    <t>F2021-10-0012</t>
  </si>
  <si>
    <t>F2021-10-0011</t>
  </si>
  <si>
    <t>F2021-09-0010</t>
  </si>
  <si>
    <t>F2021-09-0009</t>
  </si>
  <si>
    <t>F2021-09-0008</t>
  </si>
  <si>
    <t>F2021-09-0007</t>
  </si>
  <si>
    <t>F2021-09-0006</t>
  </si>
  <si>
    <t>F2021-08-0005</t>
  </si>
  <si>
    <t>Somme de MONTANT TTC2</t>
  </si>
  <si>
    <t>août</t>
  </si>
  <si>
    <t>sept</t>
  </si>
  <si>
    <t>oct</t>
  </si>
  <si>
    <t>nov</t>
  </si>
  <si>
    <t>déc</t>
  </si>
  <si>
    <t>janv</t>
  </si>
  <si>
    <t>févr</t>
  </si>
  <si>
    <t>mars</t>
  </si>
  <si>
    <t>avr</t>
  </si>
  <si>
    <t>mai</t>
  </si>
  <si>
    <t>juin</t>
  </si>
  <si>
    <t>juil</t>
  </si>
  <si>
    <t>D2024-11-0002</t>
  </si>
  <si>
    <t>F2024-11-0010</t>
  </si>
  <si>
    <t>C:\Users\MOULOLO\OneDrive\Bureau\Dashboard-excel\Document\Factures\F2024-11-0010.pdf</t>
  </si>
  <si>
    <t>F2024-11-0011</t>
  </si>
  <si>
    <t>C:\Users\MOULOLO\OneDrive\Bureau\Dashboard-excel\Document\Factures\F2024-11-0011.pdf</t>
  </si>
  <si>
    <t>F2024-11-0012</t>
  </si>
  <si>
    <t>C:\Users\MOULOLO\OneDrive\Bureau\Dashboard-excel\Document\Factures\F2024-11-0012.pdf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</si>
</sst>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.00\ &quot;DH&quot;_-;\-* #,##0.00\ &quot;DH&quot;_-;_-* &quot;-&quot;??\ &quot;DH&quot;_-;_-@_-"/>
    <numFmt numFmtId="165" formatCode="_-* #,##0.00\ [$€-40C]_-;\-* #,##0.00\ [$€-40C]_-;_-* &quot;-&quot;??\ [$€-40C]_-;_-@_-"/>
    <numFmt numFmtId="166" formatCode="_-* #,##0\ [$€-40C]_-;\-* #,##0\ [$€-40C]_-;_-* &quot;-&quot;??\ [$€-40C]_-;_-@_-"/>
  </numFmts>
  <fonts count="23">
    <font>
      <sz val="11"/>
      <color theme="1"/>
      <name val="Calibri"/>
      <family val="2"/>
      <scheme val="minor"/>
    </font>
    <font>
      <sz val="11"/>
      <color rgb="FF3C41CD"/>
      <name val="Open Sans SemiBold"/>
      <family val="2"/>
    </font>
    <font>
      <sz val="11"/>
      <color rgb="FF464F5F"/>
      <name val="Montserrat Light"/>
    </font>
    <font>
      <b/>
      <sz val="11"/>
      <color rgb="FF464F5F"/>
      <name val="Montserrat Light"/>
    </font>
    <font>
      <sz val="11"/>
      <color theme="0"/>
      <name val="Open Sans SemiBold"/>
      <family val="2"/>
    </font>
    <font>
      <sz val="14"/>
      <color rgb="FF3C41CD"/>
      <name val="Open Sans SemiBold"/>
      <family val="2"/>
    </font>
    <font>
      <sz val="11"/>
      <color theme="1"/>
      <name val="Calibri"/>
      <family val="2"/>
      <scheme val="minor"/>
    </font>
    <font>
      <sz val="10"/>
      <color theme="1"/>
      <name val="Open Sans Light"/>
      <family val="2"/>
    </font>
    <font>
      <sz val="10"/>
      <color rgb="FF464F5F"/>
      <name val="Montserrat"/>
    </font>
    <font>
      <sz val="11"/>
      <color theme="1"/>
      <name val="Open Sans SemiBold"/>
      <family val="2"/>
    </font>
    <font>
      <sz val="12"/>
      <color rgb="FF464F5F"/>
      <name val="Open Sans SemiBold"/>
      <family val="2"/>
    </font>
    <font>
      <sz val="12"/>
      <color rgb="FF3C41CD"/>
      <name val="Open Sans SemiBold"/>
      <family val="2"/>
    </font>
    <font>
      <sz val="11"/>
      <color rgb="FF464F5F"/>
      <name val="Montserrat"/>
    </font>
    <font>
      <sz val="11"/>
      <color rgb="FF464F5F"/>
      <name val="Open Sans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rgb="FF3C41CD"/>
      <name val="Calibri"/>
      <family val="2"/>
      <scheme val="minor"/>
    </font>
    <font>
      <sz val="11"/>
      <color theme="1"/>
      <name val="Open sans semi"/>
    </font>
    <font>
      <sz val="11"/>
      <color theme="1"/>
      <name val="Montserrat"/>
    </font>
    <font>
      <sz val="11"/>
      <name val="Montserrat"/>
    </font>
    <font>
      <u/>
      <sz val="11"/>
      <color rgb="FF3C41CD"/>
      <name val="Montserrat"/>
    </font>
    <font>
      <sz val="9"/>
      <color rgb="FF464F5F"/>
      <name val="Open Sans"/>
      <family val="2"/>
    </font>
  </fonts>
  <fills count="6">
    <fill>
      <patternFill patternType="none"/>
    </fill>
    <fill>
      <patternFill patternType="gray125"/>
    </fill>
    <fill>
      <patternFill patternType="solid">
        <fgColor rgb="FFF8F9F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C41CD"/>
        <bgColor indexed="64"/>
      </patternFill>
    </fill>
    <fill>
      <patternFill patternType="solid">
        <fgColor rgb="FFEDF3FF"/>
        <bgColor indexed="64"/>
      </patternFill>
    </fill>
  </fills>
  <borders count="12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3">
    <xf numFmtId="0" fontId="0" fillId="0" borderId="0"/>
    <xf numFmtId="164" fontId="6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83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 applyAlignment="1">
      <alignment horizontal="right"/>
    </xf>
    <xf numFmtId="0" fontId="9" fillId="4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165" fontId="12" fillId="3" borderId="0" xfId="1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left" vertical="center"/>
    </xf>
    <xf numFmtId="165" fontId="12" fillId="3" borderId="0" xfId="0" applyNumberFormat="1" applyFont="1" applyFill="1" applyAlignment="1">
      <alignment horizontal="center" vertical="center"/>
    </xf>
    <xf numFmtId="0" fontId="13" fillId="3" borderId="0" xfId="0" applyFont="1" applyFill="1" applyAlignment="1">
      <alignment horizontal="right"/>
    </xf>
    <xf numFmtId="0" fontId="12" fillId="3" borderId="0" xfId="0" applyFont="1" applyFill="1" applyAlignment="1">
      <alignment vertical="center"/>
    </xf>
    <xf numFmtId="0" fontId="12" fillId="3" borderId="0" xfId="0" applyFont="1" applyFill="1" applyAlignment="1">
      <alignment horizontal="left" vertical="center" wrapText="1"/>
    </xf>
    <xf numFmtId="165" fontId="2" fillId="3" borderId="0" xfId="0" applyNumberFormat="1" applyFont="1" applyFill="1" applyBorder="1" applyAlignment="1">
      <alignment vertical="center"/>
    </xf>
    <xf numFmtId="165" fontId="2" fillId="3" borderId="0" xfId="0" applyNumberFormat="1" applyFont="1" applyFill="1" applyAlignment="1">
      <alignment vertical="center"/>
    </xf>
    <xf numFmtId="0" fontId="5" fillId="3" borderId="0" xfId="0" applyFont="1" applyFill="1" applyAlignment="1">
      <alignment vertical="center"/>
    </xf>
    <xf numFmtId="0" fontId="2" fillId="3" borderId="0" xfId="0" applyFont="1" applyFill="1" applyAlignment="1"/>
    <xf numFmtId="0" fontId="2" fillId="3" borderId="0" xfId="0" applyNumberFormat="1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0" fillId="4" borderId="0" xfId="0" applyFill="1"/>
    <xf numFmtId="0" fontId="17" fillId="3" borderId="0" xfId="0" applyFont="1" applyFill="1" applyAlignment="1">
      <alignment horizontal="right"/>
    </xf>
    <xf numFmtId="0" fontId="1" fillId="3" borderId="0" xfId="0" applyFont="1" applyFill="1" applyAlignment="1"/>
    <xf numFmtId="0" fontId="4" fillId="4" borderId="0" xfId="0" applyFont="1" applyFill="1" applyAlignment="1">
      <alignment horizontal="left" vertical="center"/>
    </xf>
    <xf numFmtId="165" fontId="2" fillId="5" borderId="0" xfId="0" applyNumberFormat="1" applyFont="1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18" fillId="4" borderId="0" xfId="0" applyFont="1" applyFill="1" applyAlignment="1">
      <alignment vertical="center"/>
    </xf>
    <xf numFmtId="0" fontId="20" fillId="3" borderId="0" xfId="0" applyFont="1" applyFill="1" applyAlignment="1">
      <alignment horizontal="center" vertical="center"/>
    </xf>
    <xf numFmtId="0" fontId="20" fillId="3" borderId="0" xfId="0" applyFont="1" applyFill="1" applyAlignment="1">
      <alignment vertical="center"/>
    </xf>
    <xf numFmtId="14" fontId="20" fillId="3" borderId="0" xfId="0" applyNumberFormat="1" applyFont="1" applyFill="1" applyAlignment="1">
      <alignment horizontal="center" vertical="center"/>
    </xf>
    <xf numFmtId="165" fontId="20" fillId="3" borderId="0" xfId="0" applyNumberFormat="1" applyFont="1" applyFill="1" applyAlignment="1">
      <alignment vertical="center"/>
    </xf>
    <xf numFmtId="0" fontId="19" fillId="3" borderId="2" xfId="0" applyFont="1" applyFill="1" applyBorder="1" applyAlignment="1">
      <alignment horizontal="center" vertical="center"/>
    </xf>
    <xf numFmtId="0" fontId="0" fillId="2" borderId="0" xfId="0" applyFill="1"/>
    <xf numFmtId="0" fontId="0" fillId="3" borderId="0" xfId="0" applyFill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pivotButton="1"/>
    <xf numFmtId="166" fontId="0" fillId="0" borderId="0" xfId="0" applyNumberFormat="1"/>
    <xf numFmtId="14" fontId="0" fillId="0" borderId="0" xfId="0" applyNumberFormat="1" applyAlignment="1">
      <alignment horizontal="left"/>
    </xf>
    <xf numFmtId="0" fontId="21" fillId="3" borderId="0" xfId="2" applyFont="1" applyFill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9" fontId="0" fillId="0" borderId="0" xfId="0" applyNumberFormat="1"/>
    <xf numFmtId="0" fontId="0" fillId="0" borderId="0" xfId="0" applyNumberFormat="1"/>
    <xf numFmtId="0" fontId="0" fillId="2" borderId="2" xfId="0" applyFill="1" applyBorder="1"/>
    <xf numFmtId="14" fontId="0" fillId="2" borderId="2" xfId="0" applyNumberFormat="1" applyFill="1" applyBorder="1"/>
    <xf numFmtId="0" fontId="22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 wrapText="1"/>
    </xf>
    <xf numFmtId="14" fontId="2" fillId="3" borderId="0" xfId="0" applyNumberFormat="1" applyFont="1" applyFill="1" applyAlignment="1">
      <alignment horizontal="left"/>
    </xf>
    <xf numFmtId="0" fontId="2" fillId="3" borderId="0" xfId="0" applyFont="1" applyFill="1" applyAlignment="1">
      <alignment horizontal="left"/>
    </xf>
    <xf numFmtId="14" fontId="2" fillId="3" borderId="0" xfId="0" applyNumberFormat="1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65" fontId="2" fillId="3" borderId="0" xfId="0" applyNumberFormat="1" applyFont="1" applyFill="1" applyAlignment="1">
      <alignment horizontal="center" vertical="center"/>
    </xf>
    <xf numFmtId="165" fontId="2" fillId="5" borderId="0" xfId="0" applyNumberFormat="1" applyFont="1" applyFill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165" fontId="2" fillId="3" borderId="0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right" vertical="center"/>
    </xf>
    <xf numFmtId="0" fontId="2" fillId="3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7" fillId="3" borderId="0" xfId="0" applyFont="1" applyFill="1" applyAlignment="1">
      <alignment horizontal="left" vertical="top"/>
    </xf>
    <xf numFmtId="0" fontId="8" fillId="2" borderId="1" xfId="0" applyFont="1" applyFill="1" applyBorder="1" applyAlignment="1">
      <alignment horizontal="left"/>
    </xf>
    <xf numFmtId="0" fontId="16" fillId="2" borderId="1" xfId="2" applyFont="1" applyFill="1" applyBorder="1" applyAlignment="1">
      <alignment horizontal="left"/>
    </xf>
  </cellXfs>
  <cellStyles count="3">
    <cellStyle name="Lien hypertexte" xfId="2" builtinId="8"/>
    <cellStyle name="Monétaire" xfId="1" builtinId="4"/>
    <cellStyle name="Normal" xfId="0" builtinId="0"/>
  </cellStyles>
  <dxfs count="71"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Open Sans SemiBold"/>
        <family val="2"/>
        <scheme val="none"/>
      </font>
      <fill>
        <patternFill patternType="solid">
          <fgColor indexed="64"/>
          <bgColor rgb="FF3C41CD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464F5F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Open Sans SemiBold"/>
        <family val="2"/>
        <scheme val="none"/>
      </font>
      <fill>
        <patternFill patternType="solid">
          <fgColor indexed="64"/>
          <bgColor rgb="FF3C41CD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3C41CD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Montserrat"/>
        <scheme val="none"/>
      </font>
      <numFmt numFmtId="165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Montserrat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Montserrat"/>
        <scheme val="none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Montserrat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Montserrat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Open sans semi"/>
        <scheme val="none"/>
      </font>
      <fill>
        <patternFill patternType="solid">
          <fgColor indexed="64"/>
          <bgColor rgb="FF3C41CD"/>
        </patternFill>
      </fill>
      <alignment horizontal="general" vertical="center" textRotation="0" wrapText="0" indent="0" justifyLastLine="0" shrinkToFit="0" readingOrder="0"/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font>
        <color theme="0"/>
      </font>
      <fill>
        <patternFill>
          <bgColor rgb="FFFF6BA7"/>
        </patternFill>
      </fill>
    </dxf>
    <dxf>
      <numFmt numFmtId="166" formatCode="_-* #,##0\ [$€-40C]_-;\-* #,##0\ [$€-40C]_-;_-* &quot;-&quot;??\ [$€-40C]_-;_-@_-"/>
    </dxf>
    <dxf>
      <numFmt numFmtId="13" formatCode="0%"/>
    </dxf>
    <dxf>
      <numFmt numFmtId="13" formatCode="0%"/>
    </dxf>
    <dxf>
      <numFmt numFmtId="166" formatCode="_-* #,##0\ [$€-40C]_-;\-* #,##0\ [$€-40C]_-;_-* &quot;-&quot;??\ [$€-40C]_-;_-@_-"/>
    </dxf>
    <dxf>
      <numFmt numFmtId="13" formatCode="0%"/>
    </dxf>
    <dxf>
      <numFmt numFmtId="13" formatCode="0%"/>
    </dxf>
    <dxf>
      <numFmt numFmtId="166" formatCode="_-* #,##0\ [$€-40C]_-;\-* #,##0\ [$€-40C]_-;_-* &quot;-&quot;??\ [$€-40C]_-;_-@_-"/>
    </dxf>
    <dxf>
      <numFmt numFmtId="166" formatCode="_-* #,##0\ [$€-40C]_-;\-* #,##0\ [$€-40C]_-;_-* &quot;-&quot;??\ [$€-40C]_-;_-@_-"/>
    </dxf>
    <dxf>
      <numFmt numFmtId="166" formatCode="_-* #,##0\ [$€-40C]_-;\-* #,##0\ [$€-40C]_-;_-* &quot;-&quot;??\ [$€-40C]_-;_-@_-"/>
    </dxf>
    <dxf>
      <font>
        <b val="0"/>
        <i val="0"/>
        <strike val="0"/>
        <sz val="10"/>
        <color theme="1"/>
        <name val="Open Sans SemiBold"/>
        <family val="2"/>
        <scheme val="none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tyle2" pivot="0" table="0" count="10" xr9:uid="{1D3EEE12-50BC-4CA2-A34D-DBB84E2AB420}">
      <tableStyleElement type="wholeTable" dxfId="70"/>
      <tableStyleElement type="headerRow" dxfId="69"/>
    </tableStyle>
  </tableStyles>
  <colors>
    <mruColors>
      <color rgb="FF6172F3"/>
      <color rgb="FF3C41CD"/>
      <color rgb="FFFF6BA7"/>
      <color rgb="FFF7FF61"/>
      <color rgb="FF8FC2FB"/>
      <color rgb="FF464F5F"/>
      <color rgb="FF999999"/>
      <color rgb="FFDEDEEA"/>
      <color rgb="FFFFFFFF"/>
      <color rgb="FFF8F9FD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theme="0"/>
            <name val="Montserrat SemiBold"/>
            <scheme val="none"/>
          </font>
          <fill>
            <patternFill patternType="solid">
              <fgColor auto="1"/>
              <bgColor rgb="FF6172F3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0"/>
            <color theme="0"/>
            <name val="Montserrat SemiBold"/>
            <scheme val="none"/>
          </font>
          <fill>
            <patternFill patternType="solid">
              <fgColor auto="1"/>
              <bgColor rgb="FF6172F3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0"/>
            <color rgb="FF0C1EA0"/>
            <name val="Montserrat SemiBold"/>
            <scheme val="none"/>
          </font>
          <fill>
            <patternFill patternType="solid">
              <fgColor theme="4" tint="0.59999389629810485"/>
              <bgColor rgb="FFF8F9FD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10"/>
            <color rgb="FF999999"/>
            <name val="Montserrat SemiBold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tyle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rgbClr val="6172F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5CBFB"/>
          </a:solidFill>
          <a:ln w="19050">
            <a:solidFill>
              <a:srgbClr val="6172F3"/>
            </a:solidFill>
          </a:ln>
          <a:effectLst/>
        </c:spPr>
      </c:pivotFmt>
      <c:pivotFmt>
        <c:idx val="6"/>
        <c:spPr>
          <a:solidFill>
            <a:schemeClr val="bg1"/>
          </a:solidFill>
          <a:ln w="19050">
            <a:solidFill>
              <a:srgbClr val="6172F3"/>
            </a:solidFill>
          </a:ln>
          <a:effectLst/>
        </c:spPr>
      </c:pivotFmt>
    </c:pivotFmts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rgbClr val="6172F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 SemiBold" panose="000007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6172F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 SemiBold" panose="000007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6172F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 SemiBold" panose="000007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960926873191952"/>
          <c:y val="6.8153655514250316E-2"/>
          <c:w val="0.69039073126808059"/>
          <c:h val="0.86369268897149942"/>
        </c:manualLayout>
      </c:layout>
      <c:barChart>
        <c:barDir val="bar"/>
        <c:grouping val="clustered"/>
        <c:varyColors val="0"/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91"/>
        <c:axId val="662093352"/>
        <c:axId val="662096960"/>
      </c:barChart>
      <c:catAx>
        <c:axId val="6620933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fr-FR"/>
          </a:p>
        </c:txPr>
        <c:crossAx val="662096960"/>
        <c:crosses val="autoZero"/>
        <c:auto val="1"/>
        <c:lblAlgn val="ctr"/>
        <c:lblOffset val="100"/>
        <c:noMultiLvlLbl val="0"/>
      </c:catAx>
      <c:valAx>
        <c:axId val="6620969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6209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la facturation.xlsm]Traitement!Tendance</c:name>
    <c:fmtId val="3"/>
  </c:pivotSource>
  <c:chart>
    <c:autoTitleDeleted val="0"/>
    <c:pivotFmts>
      <c:pivotFmt>
        <c:idx val="0"/>
        <c:spPr>
          <a:gradFill>
            <a:gsLst>
              <a:gs pos="75000">
                <a:schemeClr val="accent1">
                  <a:alpha val="50000"/>
                  <a:lumMod val="35000"/>
                  <a:lumOff val="65000"/>
                </a:schemeClr>
              </a:gs>
              <a:gs pos="0">
                <a:srgbClr val="3C41CD"/>
              </a:gs>
            </a:gsLst>
            <a:lin ang="5400000" scaled="1"/>
          </a:gradFill>
          <a:ln>
            <a:noFill/>
          </a:ln>
          <a:effectLst/>
        </c:spPr>
      </c:pivotFmt>
      <c:pivotFmt>
        <c:idx val="1"/>
        <c:spPr>
          <a:solidFill>
            <a:schemeClr val="accent1"/>
          </a:solidFill>
          <a:ln w="25400" cap="rnd">
            <a:solidFill>
              <a:srgbClr val="6172F3"/>
            </a:solidFill>
            <a:round/>
          </a:ln>
          <a:effectLst/>
        </c:spPr>
      </c:pivotFmt>
      <c:pivotFmt>
        <c:idx val="2"/>
        <c:spPr>
          <a:gradFill>
            <a:gsLst>
              <a:gs pos="75000">
                <a:schemeClr val="accent1">
                  <a:alpha val="50000"/>
                  <a:lumMod val="35000"/>
                  <a:lumOff val="65000"/>
                </a:schemeClr>
              </a:gs>
              <a:gs pos="0">
                <a:srgbClr val="3C41CD"/>
              </a:gs>
            </a:gsLst>
            <a:lin ang="5400000" scaled="1"/>
          </a:gra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 w="25400" cap="rnd">
            <a:solidFill>
              <a:srgbClr val="6172F3"/>
            </a:solidFill>
            <a:round/>
          </a:ln>
          <a:effectLst/>
        </c:spPr>
      </c:pivotFmt>
      <c:pivotFmt>
        <c:idx val="4"/>
        <c:spPr>
          <a:gradFill>
            <a:gsLst>
              <a:gs pos="75000">
                <a:schemeClr val="accent1">
                  <a:alpha val="50000"/>
                  <a:lumMod val="35000"/>
                  <a:lumOff val="65000"/>
                </a:schemeClr>
              </a:gs>
              <a:gs pos="0">
                <a:srgbClr val="3C41CD"/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</c:pivotFmt>
      <c:pivotFmt>
        <c:idx val="5"/>
        <c:spPr>
          <a:ln w="25400" cap="rnd">
            <a:solidFill>
              <a:srgbClr val="6172F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Montserrat SemiBold" panose="000007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Traitement!$G$12</c:f>
              <c:strCache>
                <c:ptCount val="1"/>
                <c:pt idx="0">
                  <c:v>Somme de MONTANT TTC</c:v>
                </c:pt>
              </c:strCache>
            </c:strRef>
          </c:tx>
          <c:spPr>
            <a:gradFill>
              <a:gsLst>
                <a:gs pos="75000">
                  <a:schemeClr val="accent1">
                    <a:alpha val="50000"/>
                    <a:lumMod val="35000"/>
                    <a:lumOff val="65000"/>
                  </a:schemeClr>
                </a:gs>
                <a:gs pos="0">
                  <a:srgbClr val="3C41CD"/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Traitement!$F$13:$F$25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Traitement!$G$13:$G$25</c:f>
              <c:numCache>
                <c:formatCode>_-* #\ ##0\ [$€-40C]_-;\-* #\ ##0\ [$€-40C]_-;_-* "-"??\ [$€-40C]_-;_-@_-</c:formatCode>
                <c:ptCount val="12"/>
                <c:pt idx="0">
                  <c:v>8616</c:v>
                </c:pt>
                <c:pt idx="1">
                  <c:v>16036.8</c:v>
                </c:pt>
                <c:pt idx="2">
                  <c:v>14418</c:v>
                </c:pt>
                <c:pt idx="3">
                  <c:v>15159.599999999999</c:v>
                </c:pt>
                <c:pt idx="4">
                  <c:v>5121.5999999999995</c:v>
                </c:pt>
                <c:pt idx="5">
                  <c:v>12650.4</c:v>
                </c:pt>
                <c:pt idx="6">
                  <c:v>16251.599999999999</c:v>
                </c:pt>
                <c:pt idx="7">
                  <c:v>2995.2</c:v>
                </c:pt>
                <c:pt idx="8">
                  <c:v>18561.600000000002</c:v>
                </c:pt>
                <c:pt idx="9">
                  <c:v>10042.800000000001</c:v>
                </c:pt>
                <c:pt idx="10">
                  <c:v>87581.999999999985</c:v>
                </c:pt>
                <c:pt idx="11">
                  <c:v>11991.599999999999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9C-4A29-8A48-264ED7402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211903"/>
        <c:axId val="689971407"/>
      </c:areaChart>
      <c:lineChart>
        <c:grouping val="standard"/>
        <c:varyColors val="0"/>
        <c:ser>
          <c:idx val="1"/>
          <c:order val="1"/>
          <c:tx>
            <c:strRef>
              <c:f>Traitement!$H$12</c:f>
              <c:strCache>
                <c:ptCount val="1"/>
                <c:pt idx="0">
                  <c:v>Somme de MONTANT TTC2</c:v>
                </c:pt>
              </c:strCache>
            </c:strRef>
          </c:tx>
          <c:spPr>
            <a:ln w="25400" cap="rnd">
              <a:solidFill>
                <a:srgbClr val="6172F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Montserrat SemiBold" panose="00000700000000000000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Traitement!$F$13:$F$25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Traitement!$H$13:$H$25</c:f>
              <c:numCache>
                <c:formatCode>_-* #\ ##0\ [$€-40C]_-;\-* #\ ##0\ [$€-40C]_-;_-* "-"??\ [$€-40C]_-;_-@_-</c:formatCode>
                <c:ptCount val="12"/>
                <c:pt idx="0">
                  <c:v>8616</c:v>
                </c:pt>
                <c:pt idx="1">
                  <c:v>16036.8</c:v>
                </c:pt>
                <c:pt idx="2">
                  <c:v>14418</c:v>
                </c:pt>
                <c:pt idx="3">
                  <c:v>15159.599999999999</c:v>
                </c:pt>
                <c:pt idx="4">
                  <c:v>5121.5999999999995</c:v>
                </c:pt>
                <c:pt idx="5">
                  <c:v>12650.4</c:v>
                </c:pt>
                <c:pt idx="6">
                  <c:v>16251.599999999999</c:v>
                </c:pt>
                <c:pt idx="7">
                  <c:v>2995.2</c:v>
                </c:pt>
                <c:pt idx="8">
                  <c:v>18561.600000000002</c:v>
                </c:pt>
                <c:pt idx="9">
                  <c:v>10042.800000000001</c:v>
                </c:pt>
                <c:pt idx="10">
                  <c:v>87581.999999999985</c:v>
                </c:pt>
                <c:pt idx="11">
                  <c:v>11991.599999999999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99C-4A29-8A48-264ED7402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211903"/>
        <c:axId val="689971407"/>
      </c:lineChart>
      <c:catAx>
        <c:axId val="4152119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464F5F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9971407"/>
        <c:crosses val="autoZero"/>
        <c:auto val="1"/>
        <c:lblAlgn val="ctr"/>
        <c:lblOffset val="100"/>
        <c:noMultiLvlLbl val="0"/>
      </c:catAx>
      <c:valAx>
        <c:axId val="68997140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rgbClr val="DEDEEA"/>
              </a:solidFill>
              <a:prstDash val="dash"/>
              <a:round/>
            </a:ln>
            <a:effectLst/>
          </c:spPr>
        </c:majorGridlines>
        <c:numFmt formatCode="_-* #\ ##0\ [$€-40C]_-;\-* #\ ##0\ [$€-40C]_-;_-* &quot;-&quot;??\ [$€-40C]_-;_-@_-" sourceLinked="1"/>
        <c:majorTickMark val="out"/>
        <c:minorTickMark val="none"/>
        <c:tickLblPos val="nextTo"/>
        <c:crossAx val="4152119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la facturation.xlsm]Traitement!CAEtat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5"/>
        <c:spPr>
          <a:solidFill>
            <a:srgbClr val="8FC2FB"/>
          </a:solidFill>
          <a:ln w="19050">
            <a:solidFill>
              <a:srgbClr val="6172F3"/>
            </a:solidFill>
          </a:ln>
          <a:effectLst/>
        </c:spPr>
      </c:pivotFmt>
      <c:pivotFmt>
        <c:idx val="6"/>
        <c:spPr>
          <a:solidFill>
            <a:schemeClr val="bg1"/>
          </a:solidFill>
          <a:ln w="19050">
            <a:solidFill>
              <a:srgbClr val="6172F3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Traitement!$G$28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8FC2FB"/>
              </a:solidFill>
              <a:ln w="19050">
                <a:solidFill>
                  <a:srgbClr val="6172F3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0BC-4224-B982-D5C085436551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rgbClr val="6172F3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0BC-4224-B982-D5C085436551}"/>
              </c:ext>
            </c:extLst>
          </c:dPt>
          <c:cat>
            <c:strRef>
              <c:f>Traitement!$F$29:$F$31</c:f>
              <c:strCache>
                <c:ptCount val="2"/>
                <c:pt idx="0">
                  <c:v>Impayée</c:v>
                </c:pt>
                <c:pt idx="1">
                  <c:v>Payée</c:v>
                </c:pt>
              </c:strCache>
            </c:strRef>
          </c:cat>
          <c:val>
            <c:numRef>
              <c:f>Traitement!$G$29:$G$31</c:f>
              <c:numCache>
                <c:formatCode>0%</c:formatCode>
                <c:ptCount val="2"/>
                <c:pt idx="0">
                  <c:v>0.34197401233757713</c:v>
                </c:pt>
                <c:pt idx="1">
                  <c:v>0.65802598766242293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BC-4224-B982-D5C085436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la facturation.xlsm]Traitement!CATypePaiement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Montserrat SemiBold" panose="000007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6BA7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592473628989194E-2"/>
              <c:y val="-0.1063863268482220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Montserrat SemiBold" panose="000007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3C41CD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802894303968989"/>
              <c:y val="-2.690471981615713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Montserrat SemiBold" panose="000007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184568900051788E-2"/>
              <c:y val="-0.2219058809664930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Montserrat SemiBold" panose="000007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Traitement!$G$34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6BA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EA2-487F-AABE-2725A95CF51E}"/>
              </c:ext>
            </c:extLst>
          </c:dPt>
          <c:dPt>
            <c:idx val="1"/>
            <c:bubble3D val="0"/>
            <c:spPr>
              <a:solidFill>
                <a:srgbClr val="3C41C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EA2-487F-AABE-2725A95CF51E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EA2-487F-AABE-2725A95CF51E}"/>
              </c:ext>
            </c:extLst>
          </c:dPt>
          <c:dLbls>
            <c:dLbl>
              <c:idx val="0"/>
              <c:layout>
                <c:manualLayout>
                  <c:x val="9.592473628989194E-2"/>
                  <c:y val="-0.1063863268482220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EA2-487F-AABE-2725A95CF51E}"/>
                </c:ext>
              </c:extLst>
            </c:dLbl>
            <c:dLbl>
              <c:idx val="1"/>
              <c:layout>
                <c:manualLayout>
                  <c:x val="0.17802894303968989"/>
                  <c:y val="-2.69047198161571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A2-487F-AABE-2725A95CF51E}"/>
                </c:ext>
              </c:extLst>
            </c:dLbl>
            <c:dLbl>
              <c:idx val="2"/>
              <c:layout>
                <c:manualLayout>
                  <c:x val="-6.184568900051788E-2"/>
                  <c:y val="-0.2219058809664930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EA2-487F-AABE-2725A95CF5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Montserrat SemiBold" panose="00000700000000000000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Traitement!$F$35:$F$38</c:f>
              <c:strCache>
                <c:ptCount val="3"/>
                <c:pt idx="0">
                  <c:v>Carte Bancaire</c:v>
                </c:pt>
                <c:pt idx="1">
                  <c:v>Chèque</c:v>
                </c:pt>
                <c:pt idx="2">
                  <c:v>Espèce</c:v>
                </c:pt>
              </c:strCache>
            </c:strRef>
          </c:cat>
          <c:val>
            <c:numRef>
              <c:f>Traitement!$G$35:$G$38</c:f>
              <c:numCache>
                <c:formatCode>0%</c:formatCode>
                <c:ptCount val="3"/>
                <c:pt idx="0">
                  <c:v>0.30324789734383828</c:v>
                </c:pt>
                <c:pt idx="1">
                  <c:v>0.30287390711744949</c:v>
                </c:pt>
                <c:pt idx="2">
                  <c:v>0.39387819553871217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2-487F-AABE-2725A95CF51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de la facturation.xlsm]Traitement!Top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rgbClr val="6172F3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\ &quot;€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Montserrat SemiBold" panose="000007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9007226512172174"/>
          <c:y val="8.3333283623667612E-2"/>
          <c:w val="0.70667796664816607"/>
          <c:h val="0.83333343275266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Traitement!$G$41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172F3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Montserrat SemiBold" panose="00000700000000000000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Traitement!$F$42:$F$47</c:f>
              <c:strCache>
                <c:ptCount val="5"/>
                <c:pt idx="0">
                  <c:v>Eddy Luckecy</c:v>
                </c:pt>
                <c:pt idx="1">
                  <c:v>Magalie Harold</c:v>
                </c:pt>
                <c:pt idx="2">
                  <c:v>Andreas Pierre</c:v>
                </c:pt>
                <c:pt idx="3">
                  <c:v>Mathieu Bernard </c:v>
                </c:pt>
                <c:pt idx="4">
                  <c:v>Laurianne Fleur</c:v>
                </c:pt>
              </c:strCache>
            </c:strRef>
          </c:cat>
          <c:val>
            <c:numRef>
              <c:f>Traitement!$G$42:$G$47</c:f>
              <c:numCache>
                <c:formatCode>General</c:formatCode>
                <c:ptCount val="5"/>
                <c:pt idx="0">
                  <c:v>15778.8</c:v>
                </c:pt>
                <c:pt idx="1">
                  <c:v>16236</c:v>
                </c:pt>
                <c:pt idx="2">
                  <c:v>16344</c:v>
                </c:pt>
                <c:pt idx="3">
                  <c:v>23452.799999999999</c:v>
                </c:pt>
                <c:pt idx="4">
                  <c:v>23841.599999999999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22-4816-BB8C-5D13FBC68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1"/>
        <c:axId val="1817992431"/>
        <c:axId val="1553880671"/>
      </c:barChart>
      <c:catAx>
        <c:axId val="18179924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53880671"/>
        <c:crosses val="autoZero"/>
        <c:auto val="1"/>
        <c:lblAlgn val="ctr"/>
        <c:lblOffset val="100"/>
        <c:noMultiLvlLbl val="0"/>
      </c:catAx>
      <c:valAx>
        <c:axId val="1553880671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7992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chart" Target="../charts/chart5.xml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12" Type="http://schemas.openxmlformats.org/officeDocument/2006/relationships/chart" Target="../charts/chart4.xml"/><Relationship Id="rId17" Type="http://schemas.openxmlformats.org/officeDocument/2006/relationships/image" Target="../media/image11.png"/><Relationship Id="rId2" Type="http://schemas.openxmlformats.org/officeDocument/2006/relationships/chart" Target="../charts/chart2.xml"/><Relationship Id="rId16" Type="http://schemas.openxmlformats.org/officeDocument/2006/relationships/image" Target="../media/image10.png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11" Type="http://schemas.openxmlformats.org/officeDocument/2006/relationships/chart" Target="../charts/chart3.xml"/><Relationship Id="rId5" Type="http://schemas.openxmlformats.org/officeDocument/2006/relationships/image" Target="../media/image3.png"/><Relationship Id="rId15" Type="http://schemas.openxmlformats.org/officeDocument/2006/relationships/image" Target="../media/image9.png"/><Relationship Id="rId10" Type="http://schemas.openxmlformats.org/officeDocument/2006/relationships/image" Target="../media/image8.png"/><Relationship Id="rId4" Type="http://schemas.openxmlformats.org/officeDocument/2006/relationships/image" Target="../media/image2.png"/><Relationship Id="rId9" Type="http://schemas.openxmlformats.org/officeDocument/2006/relationships/image" Target="../media/image7.png"/><Relationship Id="rId14" Type="http://schemas.openxmlformats.org/officeDocument/2006/relationships/chart" Target="../charts/chart6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15.png"/><Relationship Id="rId2" Type="http://schemas.openxmlformats.org/officeDocument/2006/relationships/image" Target="../media/image1.png"/><Relationship Id="rId1" Type="http://schemas.openxmlformats.org/officeDocument/2006/relationships/image" Target="../media/image12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3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3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3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png"/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392167</xdr:colOff>
      <xdr:row>5</xdr:row>
      <xdr:rowOff>7620</xdr:rowOff>
    </xdr:from>
    <xdr:to>
      <xdr:col>4</xdr:col>
      <xdr:colOff>320040</xdr:colOff>
      <xdr:row>31</xdr:row>
      <xdr:rowOff>167640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37455AC-67C0-44EB-B761-685D6AFDCEAF}"/>
            </a:ext>
          </a:extLst>
        </xdr:cNvPr>
        <xdr:cNvSpPr/>
      </xdr:nvSpPr>
      <xdr:spPr>
        <a:xfrm>
          <a:off x="994147" y="876300"/>
          <a:ext cx="1733813" cy="4914900"/>
        </a:xfrm>
        <a:prstGeom prst="roundRect">
          <a:avLst>
            <a:gd name="adj" fmla="val 5864"/>
          </a:avLst>
        </a:prstGeom>
        <a:solidFill>
          <a:schemeClr val="bg1"/>
        </a:solidFill>
        <a:ln w="9525">
          <a:solidFill>
            <a:srgbClr val="EDEDF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330510</xdr:colOff>
      <xdr:row>5</xdr:row>
      <xdr:rowOff>15240</xdr:rowOff>
    </xdr:from>
    <xdr:to>
      <xdr:col>21</xdr:col>
      <xdr:colOff>396570</xdr:colOff>
      <xdr:row>9</xdr:row>
      <xdr:rowOff>147720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D3BE0154-0691-4638-BD9B-12FB4DBAB8E9}"/>
            </a:ext>
          </a:extLst>
        </xdr:cNvPr>
        <xdr:cNvSpPr/>
      </xdr:nvSpPr>
      <xdr:spPr>
        <a:xfrm>
          <a:off x="11166150" y="883920"/>
          <a:ext cx="1872000" cy="864000"/>
        </a:xfrm>
        <a:prstGeom prst="roundRect">
          <a:avLst>
            <a:gd name="adj" fmla="val 5864"/>
          </a:avLst>
        </a:prstGeom>
        <a:solidFill>
          <a:schemeClr val="bg1"/>
        </a:solidFill>
        <a:ln w="9525">
          <a:solidFill>
            <a:srgbClr val="EDEDF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499502</xdr:colOff>
      <xdr:row>10</xdr:row>
      <xdr:rowOff>82140</xdr:rowOff>
    </xdr:from>
    <xdr:to>
      <xdr:col>7</xdr:col>
      <xdr:colOff>565562</xdr:colOff>
      <xdr:row>20</xdr:row>
      <xdr:rowOff>127860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4717EA47-6FA7-4D2A-AA7D-6A3ACC464718}"/>
            </a:ext>
          </a:extLst>
        </xdr:cNvPr>
        <xdr:cNvSpPr/>
      </xdr:nvSpPr>
      <xdr:spPr>
        <a:xfrm>
          <a:off x="2907422" y="1865220"/>
          <a:ext cx="1872000" cy="1874520"/>
        </a:xfrm>
        <a:prstGeom prst="roundRect">
          <a:avLst>
            <a:gd name="adj" fmla="val 5864"/>
          </a:avLst>
        </a:prstGeom>
        <a:solidFill>
          <a:srgbClr val="6172F3"/>
        </a:solidFill>
        <a:ln w="9525">
          <a:solidFill>
            <a:srgbClr val="EDEDF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499502</xdr:colOff>
      <xdr:row>21</xdr:row>
      <xdr:rowOff>76200</xdr:rowOff>
    </xdr:from>
    <xdr:to>
      <xdr:col>11</xdr:col>
      <xdr:colOff>236220</xdr:colOff>
      <xdr:row>31</xdr:row>
      <xdr:rowOff>175260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98670980-4044-44AA-97F7-0F40BBD3CE3D}"/>
            </a:ext>
          </a:extLst>
        </xdr:cNvPr>
        <xdr:cNvSpPr/>
      </xdr:nvSpPr>
      <xdr:spPr>
        <a:xfrm>
          <a:off x="2907422" y="3870960"/>
          <a:ext cx="3950578" cy="1927860"/>
        </a:xfrm>
        <a:prstGeom prst="roundRect">
          <a:avLst>
            <a:gd name="adj" fmla="val 5864"/>
          </a:avLst>
        </a:prstGeom>
        <a:solidFill>
          <a:schemeClr val="bg1"/>
        </a:solidFill>
        <a:ln w="9525">
          <a:solidFill>
            <a:srgbClr val="EDEDF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426720</xdr:colOff>
      <xdr:row>10</xdr:row>
      <xdr:rowOff>106680</xdr:rowOff>
    </xdr:from>
    <xdr:to>
      <xdr:col>21</xdr:col>
      <xdr:colOff>396570</xdr:colOff>
      <xdr:row>20</xdr:row>
      <xdr:rowOff>153480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D9C388C6-08AD-4EFD-B5C3-4F704D17213B}"/>
            </a:ext>
          </a:extLst>
        </xdr:cNvPr>
        <xdr:cNvSpPr/>
      </xdr:nvSpPr>
      <xdr:spPr>
        <a:xfrm>
          <a:off x="7048500" y="1889760"/>
          <a:ext cx="5989650" cy="1875600"/>
        </a:xfrm>
        <a:prstGeom prst="roundRect">
          <a:avLst>
            <a:gd name="adj" fmla="val 5864"/>
          </a:avLst>
        </a:prstGeom>
        <a:solidFill>
          <a:schemeClr val="bg1"/>
        </a:solidFill>
        <a:ln w="9525">
          <a:solidFill>
            <a:srgbClr val="EDEDF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425970</xdr:colOff>
      <xdr:row>21</xdr:row>
      <xdr:rowOff>76200</xdr:rowOff>
    </xdr:from>
    <xdr:to>
      <xdr:col>21</xdr:col>
      <xdr:colOff>396570</xdr:colOff>
      <xdr:row>31</xdr:row>
      <xdr:rowOff>175260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D05A644E-E9D1-4B67-AD4D-74CE0B71B2BC}"/>
            </a:ext>
          </a:extLst>
        </xdr:cNvPr>
        <xdr:cNvSpPr/>
      </xdr:nvSpPr>
      <xdr:spPr>
        <a:xfrm>
          <a:off x="7047750" y="3870960"/>
          <a:ext cx="5990400" cy="1927860"/>
        </a:xfrm>
        <a:prstGeom prst="roundRect">
          <a:avLst>
            <a:gd name="adj" fmla="val 5864"/>
          </a:avLst>
        </a:prstGeom>
        <a:solidFill>
          <a:schemeClr val="bg1"/>
        </a:solidFill>
        <a:ln w="9525">
          <a:solidFill>
            <a:srgbClr val="EDEDF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03/07/2022</a:t>
          </a:r>
        </a:p>
      </xdr:txBody>
    </xdr:sp>
    <xdr:clientData/>
  </xdr:twoCellAnchor>
  <xdr:twoCellAnchor>
    <xdr:from>
      <xdr:col>15</xdr:col>
      <xdr:colOff>71768</xdr:colOff>
      <xdr:row>5</xdr:row>
      <xdr:rowOff>7620</xdr:rowOff>
    </xdr:from>
    <xdr:to>
      <xdr:col>18</xdr:col>
      <xdr:colOff>137828</xdr:colOff>
      <xdr:row>9</xdr:row>
      <xdr:rowOff>140100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1875DF15-7B9C-4E73-AECE-1BEDB902EC6D}"/>
            </a:ext>
          </a:extLst>
        </xdr:cNvPr>
        <xdr:cNvSpPr/>
      </xdr:nvSpPr>
      <xdr:spPr>
        <a:xfrm>
          <a:off x="9101468" y="876300"/>
          <a:ext cx="1872000" cy="864000"/>
        </a:xfrm>
        <a:prstGeom prst="roundRect">
          <a:avLst>
            <a:gd name="adj" fmla="val 5864"/>
          </a:avLst>
        </a:prstGeom>
        <a:solidFill>
          <a:schemeClr val="bg1"/>
        </a:solidFill>
        <a:ln w="9525">
          <a:solidFill>
            <a:srgbClr val="EDEDF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415006</xdr:colOff>
      <xdr:row>5</xdr:row>
      <xdr:rowOff>7620</xdr:rowOff>
    </xdr:from>
    <xdr:to>
      <xdr:col>14</xdr:col>
      <xdr:colOff>481066</xdr:colOff>
      <xdr:row>9</xdr:row>
      <xdr:rowOff>140100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E8DE1DBF-57CB-4AC9-912F-EB5607BCEFB7}"/>
            </a:ext>
          </a:extLst>
        </xdr:cNvPr>
        <xdr:cNvSpPr/>
      </xdr:nvSpPr>
      <xdr:spPr>
        <a:xfrm>
          <a:off x="7036786" y="876300"/>
          <a:ext cx="1872000" cy="864000"/>
        </a:xfrm>
        <a:prstGeom prst="roundRect">
          <a:avLst>
            <a:gd name="adj" fmla="val 5864"/>
          </a:avLst>
        </a:prstGeom>
        <a:solidFill>
          <a:schemeClr val="bg1"/>
        </a:solidFill>
        <a:ln w="9525">
          <a:solidFill>
            <a:srgbClr val="EDEDF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156264</xdr:colOff>
      <xdr:row>5</xdr:row>
      <xdr:rowOff>7620</xdr:rowOff>
    </xdr:from>
    <xdr:to>
      <xdr:col>11</xdr:col>
      <xdr:colOff>222324</xdr:colOff>
      <xdr:row>9</xdr:row>
      <xdr:rowOff>140100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BD0532AC-3C23-4F09-B2B3-F80EB689901E}"/>
            </a:ext>
          </a:extLst>
        </xdr:cNvPr>
        <xdr:cNvSpPr/>
      </xdr:nvSpPr>
      <xdr:spPr>
        <a:xfrm>
          <a:off x="4972104" y="876300"/>
          <a:ext cx="1872000" cy="864000"/>
        </a:xfrm>
        <a:prstGeom prst="roundRect">
          <a:avLst>
            <a:gd name="adj" fmla="val 5864"/>
          </a:avLst>
        </a:prstGeom>
        <a:solidFill>
          <a:schemeClr val="bg1"/>
        </a:solidFill>
        <a:ln w="9525">
          <a:solidFill>
            <a:srgbClr val="EDEDF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499502</xdr:colOff>
      <xdr:row>5</xdr:row>
      <xdr:rowOff>7620</xdr:rowOff>
    </xdr:from>
    <xdr:to>
      <xdr:col>7</xdr:col>
      <xdr:colOff>565562</xdr:colOff>
      <xdr:row>9</xdr:row>
      <xdr:rowOff>140100</xdr:rowOff>
    </xdr:to>
    <xdr:sp macro="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34EB76F2-12EF-4E3A-A905-B5E4B601AF21}"/>
            </a:ext>
          </a:extLst>
        </xdr:cNvPr>
        <xdr:cNvSpPr/>
      </xdr:nvSpPr>
      <xdr:spPr>
        <a:xfrm>
          <a:off x="2907422" y="876300"/>
          <a:ext cx="1872000" cy="864000"/>
        </a:xfrm>
        <a:prstGeom prst="roundRect">
          <a:avLst>
            <a:gd name="adj" fmla="val 5864"/>
          </a:avLst>
        </a:prstGeom>
        <a:solidFill>
          <a:schemeClr val="bg1"/>
        </a:solidFill>
        <a:ln w="9525">
          <a:solidFill>
            <a:srgbClr val="EDEDF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156264</xdr:colOff>
      <xdr:row>10</xdr:row>
      <xdr:rowOff>82140</xdr:rowOff>
    </xdr:from>
    <xdr:to>
      <xdr:col>11</xdr:col>
      <xdr:colOff>222324</xdr:colOff>
      <xdr:row>20</xdr:row>
      <xdr:rowOff>127860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82441C23-CDAE-44D3-9A6D-E152F0DC2F29}"/>
            </a:ext>
          </a:extLst>
        </xdr:cNvPr>
        <xdr:cNvSpPr/>
      </xdr:nvSpPr>
      <xdr:spPr>
        <a:xfrm>
          <a:off x="4972104" y="1865220"/>
          <a:ext cx="1872000" cy="1874520"/>
        </a:xfrm>
        <a:prstGeom prst="roundRect">
          <a:avLst>
            <a:gd name="adj" fmla="val 5864"/>
          </a:avLst>
        </a:prstGeom>
        <a:solidFill>
          <a:schemeClr val="bg1"/>
        </a:solidFill>
        <a:ln w="9525">
          <a:solidFill>
            <a:srgbClr val="EDEDF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533400</xdr:colOff>
      <xdr:row>11</xdr:row>
      <xdr:rowOff>167640</xdr:rowOff>
    </xdr:from>
    <xdr:to>
      <xdr:col>7</xdr:col>
      <xdr:colOff>527460</xdr:colOff>
      <xdr:row>19</xdr:row>
      <xdr:rowOff>144600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AB988621-D5E6-448B-8589-141178C87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586740</xdr:colOff>
      <xdr:row>22</xdr:row>
      <xdr:rowOff>152400</xdr:rowOff>
    </xdr:from>
    <xdr:to>
      <xdr:col>11</xdr:col>
      <xdr:colOff>304800</xdr:colOff>
      <xdr:row>32</xdr:row>
      <xdr:rowOff>30480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B69B95B2-AAFF-40CA-A675-D31B505FEE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</xdr:row>
      <xdr:rowOff>129966</xdr:rowOff>
    </xdr:from>
    <xdr:to>
      <xdr:col>27</xdr:col>
      <xdr:colOff>190500</xdr:colOff>
      <xdr:row>2</xdr:row>
      <xdr:rowOff>129966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82E59E45-D39B-495B-9C15-9EBB4DCBEDBC}"/>
            </a:ext>
          </a:extLst>
        </xdr:cNvPr>
        <xdr:cNvCxnSpPr/>
      </xdr:nvCxnSpPr>
      <xdr:spPr>
        <a:xfrm>
          <a:off x="0" y="495726"/>
          <a:ext cx="1645158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502920</xdr:colOff>
      <xdr:row>0</xdr:row>
      <xdr:rowOff>68305</xdr:rowOff>
    </xdr:from>
    <xdr:to>
      <xdr:col>6</xdr:col>
      <xdr:colOff>378960</xdr:colOff>
      <xdr:row>2</xdr:row>
      <xdr:rowOff>14965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4C296091-800A-4E52-BEFF-717DE71C4F8C}"/>
            </a:ext>
          </a:extLst>
        </xdr:cNvPr>
        <xdr:cNvSpPr/>
      </xdr:nvSpPr>
      <xdr:spPr>
        <a:xfrm>
          <a:off x="2910840" y="68305"/>
          <a:ext cx="1080000" cy="312420"/>
        </a:xfrm>
        <a:prstGeom prst="roundRect">
          <a:avLst/>
        </a:prstGeom>
        <a:solidFill>
          <a:srgbClr val="EDF3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Dashboard</a:t>
          </a:r>
        </a:p>
      </xdr:txBody>
    </xdr:sp>
    <xdr:clientData/>
  </xdr:twoCellAnchor>
  <xdr:twoCellAnchor>
    <xdr:from>
      <xdr:col>6</xdr:col>
      <xdr:colOff>404664</xdr:colOff>
      <xdr:row>0</xdr:row>
      <xdr:rowOff>68305</xdr:rowOff>
    </xdr:from>
    <xdr:to>
      <xdr:col>8</xdr:col>
      <xdr:colOff>280704</xdr:colOff>
      <xdr:row>2</xdr:row>
      <xdr:rowOff>14965</xdr:rowOff>
    </xdr:to>
    <xdr:sp macro="[0]!versDevis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B028DEFA-B0FD-4462-8880-65157027124B}"/>
            </a:ext>
          </a:extLst>
        </xdr:cNvPr>
        <xdr:cNvSpPr/>
      </xdr:nvSpPr>
      <xdr:spPr>
        <a:xfrm>
          <a:off x="4016544" y="68305"/>
          <a:ext cx="10800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Devis</a:t>
          </a:r>
        </a:p>
      </xdr:txBody>
    </xdr:sp>
    <xdr:clientData/>
  </xdr:twoCellAnchor>
  <xdr:twoCellAnchor>
    <xdr:from>
      <xdr:col>8</xdr:col>
      <xdr:colOff>307308</xdr:colOff>
      <xdr:row>0</xdr:row>
      <xdr:rowOff>68305</xdr:rowOff>
    </xdr:from>
    <xdr:to>
      <xdr:col>10</xdr:col>
      <xdr:colOff>183348</xdr:colOff>
      <xdr:row>2</xdr:row>
      <xdr:rowOff>14965</xdr:rowOff>
    </xdr:to>
    <xdr:sp macro="[0]!versCommande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59894BFB-F4E5-4930-A299-EE82B93411F9}"/>
            </a:ext>
          </a:extLst>
        </xdr:cNvPr>
        <xdr:cNvSpPr/>
      </xdr:nvSpPr>
      <xdr:spPr>
        <a:xfrm>
          <a:off x="5123148" y="68305"/>
          <a:ext cx="10800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Commande</a:t>
          </a:r>
        </a:p>
      </xdr:txBody>
    </xdr:sp>
    <xdr:clientData/>
  </xdr:twoCellAnchor>
  <xdr:twoCellAnchor>
    <xdr:from>
      <xdr:col>10</xdr:col>
      <xdr:colOff>209952</xdr:colOff>
      <xdr:row>0</xdr:row>
      <xdr:rowOff>68305</xdr:rowOff>
    </xdr:from>
    <xdr:to>
      <xdr:col>12</xdr:col>
      <xdr:colOff>85992</xdr:colOff>
      <xdr:row>2</xdr:row>
      <xdr:rowOff>14965</xdr:rowOff>
    </xdr:to>
    <xdr:sp macro="[0]!versLivraison" textlink="">
      <xdr:nvSpPr>
        <xdr:cNvPr id="19" name="Rectangle : coins arrondis 18">
          <a:extLst>
            <a:ext uri="{FF2B5EF4-FFF2-40B4-BE49-F238E27FC236}">
              <a16:creationId xmlns:a16="http://schemas.microsoft.com/office/drawing/2014/main" id="{808BC339-E084-4713-AE97-D56C579C53FF}"/>
            </a:ext>
          </a:extLst>
        </xdr:cNvPr>
        <xdr:cNvSpPr/>
      </xdr:nvSpPr>
      <xdr:spPr>
        <a:xfrm>
          <a:off x="6229752" y="68305"/>
          <a:ext cx="10800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Livraision</a:t>
          </a:r>
        </a:p>
      </xdr:txBody>
    </xdr:sp>
    <xdr:clientData/>
  </xdr:twoCellAnchor>
  <xdr:twoCellAnchor>
    <xdr:from>
      <xdr:col>12</xdr:col>
      <xdr:colOff>112596</xdr:colOff>
      <xdr:row>0</xdr:row>
      <xdr:rowOff>68305</xdr:rowOff>
    </xdr:from>
    <xdr:to>
      <xdr:col>13</xdr:col>
      <xdr:colOff>590616</xdr:colOff>
      <xdr:row>2</xdr:row>
      <xdr:rowOff>14965</xdr:rowOff>
    </xdr:to>
    <xdr:sp macro="[0]!versFacture" textlink="">
      <xdr:nvSpPr>
        <xdr:cNvPr id="20" name="Rectangle : coins arrondis 19">
          <a:extLst>
            <a:ext uri="{FF2B5EF4-FFF2-40B4-BE49-F238E27FC236}">
              <a16:creationId xmlns:a16="http://schemas.microsoft.com/office/drawing/2014/main" id="{C25C5CEC-ED08-4642-88CB-87ECA5009D8F}"/>
            </a:ext>
          </a:extLst>
        </xdr:cNvPr>
        <xdr:cNvSpPr/>
      </xdr:nvSpPr>
      <xdr:spPr>
        <a:xfrm>
          <a:off x="7336356" y="68305"/>
          <a:ext cx="10800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Facture</a:t>
          </a:r>
        </a:p>
      </xdr:txBody>
    </xdr:sp>
    <xdr:clientData/>
  </xdr:twoCellAnchor>
  <xdr:twoCellAnchor>
    <xdr:from>
      <xdr:col>0</xdr:col>
      <xdr:colOff>0</xdr:colOff>
      <xdr:row>2</xdr:row>
      <xdr:rowOff>131871</xdr:rowOff>
    </xdr:from>
    <xdr:to>
      <xdr:col>27</xdr:col>
      <xdr:colOff>592455</xdr:colOff>
      <xdr:row>2</xdr:row>
      <xdr:rowOff>131871</xdr:rowOff>
    </xdr:to>
    <xdr:cxnSp macro="">
      <xdr:nvCxnSpPr>
        <xdr:cNvPr id="25" name="Connecteur droit 24">
          <a:extLst>
            <a:ext uri="{FF2B5EF4-FFF2-40B4-BE49-F238E27FC236}">
              <a16:creationId xmlns:a16="http://schemas.microsoft.com/office/drawing/2014/main" id="{B11EE174-B3FD-4B53-8034-F9BB5CAA21B0}"/>
            </a:ext>
          </a:extLst>
        </xdr:cNvPr>
        <xdr:cNvCxnSpPr/>
      </xdr:nvCxnSpPr>
      <xdr:spPr>
        <a:xfrm>
          <a:off x="0" y="497631"/>
          <a:ext cx="16853535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481965</xdr:colOff>
      <xdr:row>0</xdr:row>
      <xdr:rowOff>60960</xdr:rowOff>
    </xdr:from>
    <xdr:to>
      <xdr:col>4</xdr:col>
      <xdr:colOff>566056</xdr:colOff>
      <xdr:row>2</xdr:row>
      <xdr:rowOff>33741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E537F15C-7CB6-47ED-988A-4495F374A017}"/>
            </a:ext>
          </a:extLst>
        </xdr:cNvPr>
        <xdr:cNvGrpSpPr/>
      </xdr:nvGrpSpPr>
      <xdr:grpSpPr>
        <a:xfrm>
          <a:off x="1078865" y="60960"/>
          <a:ext cx="1874791" cy="328381"/>
          <a:chOff x="1082040" y="60960"/>
          <a:chExt cx="1884701" cy="334731"/>
        </a:xfrm>
      </xdr:grpSpPr>
      <xdr:sp macro="[0]!versDashboard" textlink="Parameters!E9">
        <xdr:nvSpPr>
          <xdr:cNvPr id="22" name="Rectangle : coins arrondis 21">
            <a:extLst>
              <a:ext uri="{FF2B5EF4-FFF2-40B4-BE49-F238E27FC236}">
                <a16:creationId xmlns:a16="http://schemas.microsoft.com/office/drawing/2014/main" id="{DC35EE82-88A2-41AE-8A99-50B380DFA8C5}"/>
              </a:ext>
            </a:extLst>
          </xdr:cNvPr>
          <xdr:cNvSpPr/>
        </xdr:nvSpPr>
        <xdr:spPr>
          <a:xfrm>
            <a:off x="1504949" y="68306"/>
            <a:ext cx="1461792" cy="294448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0497271E-CEDF-44B7-815B-BA7D465A2338}" type="TxLink">
              <a:rPr lang="en-US" sz="1400" b="1" i="0" u="none" strike="noStrike">
                <a:solidFill>
                  <a:srgbClr val="464F5F"/>
                </a:solidFill>
                <a:latin typeface="Montserrat"/>
                <a:ea typeface="Open Sans SemiBold" panose="020B0706030804020204" pitchFamily="34" charset="0"/>
                <a:cs typeface="Open Sans SemiBold" panose="020B0706030804020204" pitchFamily="34" charset="0"/>
              </a:rPr>
              <a:pPr algn="l"/>
              <a:t>MouloloEden</a:t>
            </a:fld>
            <a:endParaRPr lang="fr-FR" sz="1400" b="1">
              <a:solidFill>
                <a:srgbClr val="131524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endParaRPr>
          </a:p>
        </xdr:txBody>
      </xdr:sp>
      <xdr:pic macro="[0]!versDashboard">
        <xdr:nvPicPr>
          <xdr:cNvPr id="26" name="Image 25">
            <a:extLst>
              <a:ext uri="{FF2B5EF4-FFF2-40B4-BE49-F238E27FC236}">
                <a16:creationId xmlns:a16="http://schemas.microsoft.com/office/drawing/2014/main" id="{B899DFC5-19A7-4E79-A89A-385970A859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040" y="60960"/>
            <a:ext cx="392430" cy="334731"/>
          </a:xfrm>
          <a:prstGeom prst="rect">
            <a:avLst/>
          </a:prstGeom>
        </xdr:spPr>
      </xdr:pic>
    </xdr:grpSp>
    <xdr:clientData/>
  </xdr:twoCellAnchor>
  <xdr:twoCellAnchor editAs="oneCell">
    <xdr:from>
      <xdr:col>21</xdr:col>
      <xdr:colOff>493395</xdr:colOff>
      <xdr:row>0</xdr:row>
      <xdr:rowOff>115660</xdr:rowOff>
    </xdr:from>
    <xdr:to>
      <xdr:col>22</xdr:col>
      <xdr:colOff>143415</xdr:colOff>
      <xdr:row>2</xdr:row>
      <xdr:rowOff>3170</xdr:rowOff>
    </xdr:to>
    <xdr:pic macro="[0]!actualiser">
      <xdr:nvPicPr>
        <xdr:cNvPr id="27" name="Image 26">
          <a:extLst>
            <a:ext uri="{FF2B5EF4-FFF2-40B4-BE49-F238E27FC236}">
              <a16:creationId xmlns:a16="http://schemas.microsoft.com/office/drawing/2014/main" id="{1BB1670B-30BD-42B2-AB0E-9FE307C9B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34975" y="115660"/>
          <a:ext cx="252000" cy="248190"/>
        </a:xfrm>
        <a:prstGeom prst="rect">
          <a:avLst/>
        </a:prstGeom>
      </xdr:spPr>
    </xdr:pic>
    <xdr:clientData/>
  </xdr:twoCellAnchor>
  <xdr:twoCellAnchor editAs="oneCell">
    <xdr:from>
      <xdr:col>20</xdr:col>
      <xdr:colOff>544335</xdr:colOff>
      <xdr:row>0</xdr:row>
      <xdr:rowOff>115660</xdr:rowOff>
    </xdr:from>
    <xdr:to>
      <xdr:col>21</xdr:col>
      <xdr:colOff>194355</xdr:colOff>
      <xdr:row>2</xdr:row>
      <xdr:rowOff>3170</xdr:rowOff>
    </xdr:to>
    <xdr:pic macro="[0]!versParamètre">
      <xdr:nvPicPr>
        <xdr:cNvPr id="28" name="Image 27">
          <a:extLst>
            <a:ext uri="{FF2B5EF4-FFF2-40B4-BE49-F238E27FC236}">
              <a16:creationId xmlns:a16="http://schemas.microsoft.com/office/drawing/2014/main" id="{FC617076-647B-4DA4-A77F-ACC2CD2D1E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83935" y="115660"/>
          <a:ext cx="252000" cy="248190"/>
        </a:xfrm>
        <a:prstGeom prst="rect">
          <a:avLst/>
        </a:prstGeom>
      </xdr:spPr>
    </xdr:pic>
    <xdr:clientData/>
  </xdr:twoCellAnchor>
  <xdr:twoCellAnchor>
    <xdr:from>
      <xdr:col>4</xdr:col>
      <xdr:colOff>504825</xdr:colOff>
      <xdr:row>7</xdr:row>
      <xdr:rowOff>161925</xdr:rowOff>
    </xdr:from>
    <xdr:to>
      <xdr:col>7</xdr:col>
      <xdr:colOff>361950</xdr:colOff>
      <xdr:row>9</xdr:row>
      <xdr:rowOff>95249</xdr:rowOff>
    </xdr:to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2D3E68E7-929B-4F6A-BAFF-1D54ADA56FC9}"/>
            </a:ext>
          </a:extLst>
        </xdr:cNvPr>
        <xdr:cNvSpPr txBox="1"/>
      </xdr:nvSpPr>
      <xdr:spPr>
        <a:xfrm>
          <a:off x="2905125" y="1381125"/>
          <a:ext cx="1657350" cy="2952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Chiffre d'affaire HT</a:t>
          </a:r>
        </a:p>
      </xdr:txBody>
    </xdr:sp>
    <xdr:clientData/>
  </xdr:twoCellAnchor>
  <xdr:twoCellAnchor>
    <xdr:from>
      <xdr:col>8</xdr:col>
      <xdr:colOff>171450</xdr:colOff>
      <xdr:row>7</xdr:row>
      <xdr:rowOff>161925</xdr:rowOff>
    </xdr:from>
    <xdr:to>
      <xdr:col>9</xdr:col>
      <xdr:colOff>0</xdr:colOff>
      <xdr:row>9</xdr:row>
      <xdr:rowOff>57149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EB5090F6-FF17-42CC-B8D1-E541F19B6367}"/>
            </a:ext>
          </a:extLst>
        </xdr:cNvPr>
        <xdr:cNvSpPr txBox="1"/>
      </xdr:nvSpPr>
      <xdr:spPr>
        <a:xfrm>
          <a:off x="4972050" y="1381125"/>
          <a:ext cx="428625" cy="257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TVA</a:t>
          </a:r>
        </a:p>
      </xdr:txBody>
    </xdr:sp>
    <xdr:clientData/>
  </xdr:twoCellAnchor>
  <xdr:twoCellAnchor>
    <xdr:from>
      <xdr:col>11</xdr:col>
      <xdr:colOff>438150</xdr:colOff>
      <xdr:row>7</xdr:row>
      <xdr:rowOff>161925</xdr:rowOff>
    </xdr:from>
    <xdr:to>
      <xdr:col>14</xdr:col>
      <xdr:colOff>295275</xdr:colOff>
      <xdr:row>9</xdr:row>
      <xdr:rowOff>95249</xdr:rowOff>
    </xdr:to>
    <xdr:sp macro="" textlink="">
      <xdr:nvSpPr>
        <xdr:cNvPr id="31" name="ZoneTexte 30">
          <a:extLst>
            <a:ext uri="{FF2B5EF4-FFF2-40B4-BE49-F238E27FC236}">
              <a16:creationId xmlns:a16="http://schemas.microsoft.com/office/drawing/2014/main" id="{2A391608-139B-49CA-92B2-B72FE327265D}"/>
            </a:ext>
          </a:extLst>
        </xdr:cNvPr>
        <xdr:cNvSpPr txBox="1"/>
      </xdr:nvSpPr>
      <xdr:spPr>
        <a:xfrm>
          <a:off x="7038975" y="1381125"/>
          <a:ext cx="1657350" cy="2952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Chiffre d'affaire TTC</a:t>
          </a:r>
        </a:p>
      </xdr:txBody>
    </xdr:sp>
    <xdr:clientData/>
  </xdr:twoCellAnchor>
  <xdr:twoCellAnchor>
    <xdr:from>
      <xdr:col>15</xdr:col>
      <xdr:colOff>85725</xdr:colOff>
      <xdr:row>7</xdr:row>
      <xdr:rowOff>161925</xdr:rowOff>
    </xdr:from>
    <xdr:to>
      <xdr:col>16</xdr:col>
      <xdr:colOff>276225</xdr:colOff>
      <xdr:row>9</xdr:row>
      <xdr:rowOff>104774</xdr:rowOff>
    </xdr:to>
    <xdr:sp macro="" textlink="">
      <xdr:nvSpPr>
        <xdr:cNvPr id="32" name="ZoneTexte 31">
          <a:extLst>
            <a:ext uri="{FF2B5EF4-FFF2-40B4-BE49-F238E27FC236}">
              <a16:creationId xmlns:a16="http://schemas.microsoft.com/office/drawing/2014/main" id="{FA90D34D-1598-4AD7-B3B4-795F6C1EED0C}"/>
            </a:ext>
          </a:extLst>
        </xdr:cNvPr>
        <xdr:cNvSpPr txBox="1"/>
      </xdr:nvSpPr>
      <xdr:spPr>
        <a:xfrm>
          <a:off x="9086850" y="1381125"/>
          <a:ext cx="790575" cy="3047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Total payé</a:t>
          </a:r>
        </a:p>
      </xdr:txBody>
    </xdr:sp>
    <xdr:clientData/>
  </xdr:twoCellAnchor>
  <xdr:twoCellAnchor>
    <xdr:from>
      <xdr:col>18</xdr:col>
      <xdr:colOff>361950</xdr:colOff>
      <xdr:row>7</xdr:row>
      <xdr:rowOff>161925</xdr:rowOff>
    </xdr:from>
    <xdr:to>
      <xdr:col>20</xdr:col>
      <xdr:colOff>133350</xdr:colOff>
      <xdr:row>9</xdr:row>
      <xdr:rowOff>95250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2585B3AB-5D57-4887-A52C-71943DF0453C}"/>
            </a:ext>
          </a:extLst>
        </xdr:cNvPr>
        <xdr:cNvSpPr txBox="1"/>
      </xdr:nvSpPr>
      <xdr:spPr>
        <a:xfrm>
          <a:off x="11163300" y="1381125"/>
          <a:ext cx="97155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Total impayé</a:t>
          </a:r>
        </a:p>
      </xdr:txBody>
    </xdr:sp>
    <xdr:clientData/>
  </xdr:twoCellAnchor>
  <xdr:twoCellAnchor>
    <xdr:from>
      <xdr:col>4</xdr:col>
      <xdr:colOff>523875</xdr:colOff>
      <xdr:row>10</xdr:row>
      <xdr:rowOff>114301</xdr:rowOff>
    </xdr:from>
    <xdr:to>
      <xdr:col>7</xdr:col>
      <xdr:colOff>314325</xdr:colOff>
      <xdr:row>12</xdr:row>
      <xdr:rowOff>57150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F9E44C45-E013-4E9A-944A-44690CB4DE05}"/>
            </a:ext>
          </a:extLst>
        </xdr:cNvPr>
        <xdr:cNvSpPr txBox="1"/>
      </xdr:nvSpPr>
      <xdr:spPr>
        <a:xfrm>
          <a:off x="2924175" y="1876426"/>
          <a:ext cx="159067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bg1"/>
              </a:solidFill>
              <a:latin typeface="+mn-lt"/>
            </a:rPr>
            <a:t>CA par état de paiement</a:t>
          </a:r>
        </a:p>
      </xdr:txBody>
    </xdr:sp>
    <xdr:clientData/>
  </xdr:twoCellAnchor>
  <xdr:twoCellAnchor>
    <xdr:from>
      <xdr:col>8</xdr:col>
      <xdr:colOff>180975</xdr:colOff>
      <xdr:row>10</xdr:row>
      <xdr:rowOff>114301</xdr:rowOff>
    </xdr:from>
    <xdr:to>
      <xdr:col>11</xdr:col>
      <xdr:colOff>85725</xdr:colOff>
      <xdr:row>12</xdr:row>
      <xdr:rowOff>95250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605D75A1-1787-4723-AE81-26C3E69F84BD}"/>
            </a:ext>
          </a:extLst>
        </xdr:cNvPr>
        <xdr:cNvSpPr txBox="1"/>
      </xdr:nvSpPr>
      <xdr:spPr>
        <a:xfrm>
          <a:off x="4981575" y="1876426"/>
          <a:ext cx="1704975" cy="3428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+mn-lt"/>
            </a:rPr>
            <a:t>CA par mode de paiement</a:t>
          </a:r>
        </a:p>
      </xdr:txBody>
    </xdr:sp>
    <xdr:clientData/>
  </xdr:twoCellAnchor>
  <xdr:twoCellAnchor>
    <xdr:from>
      <xdr:col>11</xdr:col>
      <xdr:colOff>485775</xdr:colOff>
      <xdr:row>10</xdr:row>
      <xdr:rowOff>114301</xdr:rowOff>
    </xdr:from>
    <xdr:to>
      <xdr:col>14</xdr:col>
      <xdr:colOff>390525</xdr:colOff>
      <xdr:row>12</xdr:row>
      <xdr:rowOff>95250</xdr:rowOff>
    </xdr:to>
    <xdr:sp macro="" textlink="">
      <xdr:nvSpPr>
        <xdr:cNvPr id="36" name="ZoneTexte 35">
          <a:extLst>
            <a:ext uri="{FF2B5EF4-FFF2-40B4-BE49-F238E27FC236}">
              <a16:creationId xmlns:a16="http://schemas.microsoft.com/office/drawing/2014/main" id="{DFE34299-6AA9-415E-9577-F01987A8649B}"/>
            </a:ext>
          </a:extLst>
        </xdr:cNvPr>
        <xdr:cNvSpPr txBox="1"/>
      </xdr:nvSpPr>
      <xdr:spPr>
        <a:xfrm>
          <a:off x="7086600" y="1876426"/>
          <a:ext cx="1704975" cy="3428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+mn-lt"/>
            </a:rPr>
            <a:t>Tendance de ventes</a:t>
          </a:r>
        </a:p>
      </xdr:txBody>
    </xdr:sp>
    <xdr:clientData/>
  </xdr:twoCellAnchor>
  <xdr:twoCellAnchor>
    <xdr:from>
      <xdr:col>4</xdr:col>
      <xdr:colOff>504826</xdr:colOff>
      <xdr:row>21</xdr:row>
      <xdr:rowOff>95251</xdr:rowOff>
    </xdr:from>
    <xdr:to>
      <xdr:col>6</xdr:col>
      <xdr:colOff>561976</xdr:colOff>
      <xdr:row>23</xdr:row>
      <xdr:rowOff>76200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67AA81A0-542F-4073-B853-36F8A47B4313}"/>
            </a:ext>
          </a:extLst>
        </xdr:cNvPr>
        <xdr:cNvSpPr txBox="1"/>
      </xdr:nvSpPr>
      <xdr:spPr>
        <a:xfrm>
          <a:off x="2905126" y="3848101"/>
          <a:ext cx="1257300" cy="3428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+mn-lt"/>
            </a:rPr>
            <a:t>Top 5 clients</a:t>
          </a:r>
        </a:p>
      </xdr:txBody>
    </xdr:sp>
    <xdr:clientData/>
  </xdr:twoCellAnchor>
  <xdr:twoCellAnchor>
    <xdr:from>
      <xdr:col>11</xdr:col>
      <xdr:colOff>466726</xdr:colOff>
      <xdr:row>21</xdr:row>
      <xdr:rowOff>95251</xdr:rowOff>
    </xdr:from>
    <xdr:to>
      <xdr:col>14</xdr:col>
      <xdr:colOff>66675</xdr:colOff>
      <xdr:row>23</xdr:row>
      <xdr:rowOff>76200</xdr:rowOff>
    </xdr:to>
    <xdr:sp macro="" textlink="">
      <xdr:nvSpPr>
        <xdr:cNvPr id="38" name="ZoneTexte 37">
          <a:extLst>
            <a:ext uri="{FF2B5EF4-FFF2-40B4-BE49-F238E27FC236}">
              <a16:creationId xmlns:a16="http://schemas.microsoft.com/office/drawing/2014/main" id="{BBE243A1-2986-48E6-A452-0B3F3CC49E7E}"/>
            </a:ext>
          </a:extLst>
        </xdr:cNvPr>
        <xdr:cNvSpPr txBox="1"/>
      </xdr:nvSpPr>
      <xdr:spPr>
        <a:xfrm>
          <a:off x="7067551" y="3848101"/>
          <a:ext cx="1400174" cy="3428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+mn-lt"/>
            </a:rPr>
            <a:t>4 dernières</a:t>
          </a:r>
          <a:r>
            <a:rPr lang="fr-FR" sz="1100" baseline="0">
              <a:latin typeface="+mn-lt"/>
            </a:rPr>
            <a:t> factures</a:t>
          </a:r>
          <a:endParaRPr lang="fr-FR" sz="1100">
            <a:latin typeface="+mn-lt"/>
          </a:endParaRPr>
        </a:p>
      </xdr:txBody>
    </xdr:sp>
    <xdr:clientData/>
  </xdr:twoCellAnchor>
  <xdr:twoCellAnchor>
    <xdr:from>
      <xdr:col>7</xdr:col>
      <xdr:colOff>211847</xdr:colOff>
      <xdr:row>5</xdr:row>
      <xdr:rowOff>9525</xdr:rowOff>
    </xdr:from>
    <xdr:to>
      <xdr:col>7</xdr:col>
      <xdr:colOff>571847</xdr:colOff>
      <xdr:row>7</xdr:row>
      <xdr:rowOff>7575</xdr:rowOff>
    </xdr:to>
    <xdr:sp macro="" textlink="">
      <xdr:nvSpPr>
        <xdr:cNvPr id="39" name="Rectangle : coins arrondis 38">
          <a:extLst>
            <a:ext uri="{FF2B5EF4-FFF2-40B4-BE49-F238E27FC236}">
              <a16:creationId xmlns:a16="http://schemas.microsoft.com/office/drawing/2014/main" id="{E26197B3-98F5-4AA8-A589-FF162EEC7738}"/>
            </a:ext>
          </a:extLst>
        </xdr:cNvPr>
        <xdr:cNvSpPr/>
      </xdr:nvSpPr>
      <xdr:spPr>
        <a:xfrm>
          <a:off x="4412372" y="866775"/>
          <a:ext cx="360000" cy="360000"/>
        </a:xfrm>
        <a:prstGeom prst="roundRect">
          <a:avLst>
            <a:gd name="adj" fmla="val 5864"/>
          </a:avLst>
        </a:prstGeom>
        <a:solidFill>
          <a:srgbClr val="6172F3"/>
        </a:solidFill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469022</xdr:colOff>
      <xdr:row>5</xdr:row>
      <xdr:rowOff>9525</xdr:rowOff>
    </xdr:from>
    <xdr:to>
      <xdr:col>11</xdr:col>
      <xdr:colOff>228947</xdr:colOff>
      <xdr:row>7</xdr:row>
      <xdr:rowOff>7575</xdr:rowOff>
    </xdr:to>
    <xdr:sp macro="" textlink="">
      <xdr:nvSpPr>
        <xdr:cNvPr id="40" name="Rectangle : coins arrondis 39">
          <a:extLst>
            <a:ext uri="{FF2B5EF4-FFF2-40B4-BE49-F238E27FC236}">
              <a16:creationId xmlns:a16="http://schemas.microsoft.com/office/drawing/2014/main" id="{C2D735CE-4C2B-4B30-BE05-79876D709F5D}"/>
            </a:ext>
          </a:extLst>
        </xdr:cNvPr>
        <xdr:cNvSpPr/>
      </xdr:nvSpPr>
      <xdr:spPr>
        <a:xfrm>
          <a:off x="6469772" y="866775"/>
          <a:ext cx="360000" cy="360000"/>
        </a:xfrm>
        <a:prstGeom prst="roundRect">
          <a:avLst>
            <a:gd name="adj" fmla="val 5864"/>
          </a:avLst>
        </a:prstGeom>
        <a:solidFill>
          <a:srgbClr val="6172F3"/>
        </a:solidFill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126122</xdr:colOff>
      <xdr:row>5</xdr:row>
      <xdr:rowOff>9525</xdr:rowOff>
    </xdr:from>
    <xdr:to>
      <xdr:col>14</xdr:col>
      <xdr:colOff>486122</xdr:colOff>
      <xdr:row>7</xdr:row>
      <xdr:rowOff>7575</xdr:rowOff>
    </xdr:to>
    <xdr:sp macro="" textlink="">
      <xdr:nvSpPr>
        <xdr:cNvPr id="41" name="Rectangle : coins arrondis 40">
          <a:extLst>
            <a:ext uri="{FF2B5EF4-FFF2-40B4-BE49-F238E27FC236}">
              <a16:creationId xmlns:a16="http://schemas.microsoft.com/office/drawing/2014/main" id="{A85031D7-60E5-4137-8E16-10F8B50A9CCA}"/>
            </a:ext>
          </a:extLst>
        </xdr:cNvPr>
        <xdr:cNvSpPr/>
      </xdr:nvSpPr>
      <xdr:spPr>
        <a:xfrm>
          <a:off x="8527172" y="866775"/>
          <a:ext cx="360000" cy="360000"/>
        </a:xfrm>
        <a:prstGeom prst="roundRect">
          <a:avLst>
            <a:gd name="adj" fmla="val 5864"/>
          </a:avLst>
        </a:prstGeom>
        <a:solidFill>
          <a:srgbClr val="FF6BA7"/>
        </a:solidFill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383297</xdr:colOff>
      <xdr:row>5</xdr:row>
      <xdr:rowOff>9525</xdr:rowOff>
    </xdr:from>
    <xdr:to>
      <xdr:col>18</xdr:col>
      <xdr:colOff>143222</xdr:colOff>
      <xdr:row>7</xdr:row>
      <xdr:rowOff>7575</xdr:rowOff>
    </xdr:to>
    <xdr:sp macro="" textlink="">
      <xdr:nvSpPr>
        <xdr:cNvPr id="42" name="Rectangle : coins arrondis 41">
          <a:extLst>
            <a:ext uri="{FF2B5EF4-FFF2-40B4-BE49-F238E27FC236}">
              <a16:creationId xmlns:a16="http://schemas.microsoft.com/office/drawing/2014/main" id="{91578063-008C-4322-9388-5BCE64C2F48A}"/>
            </a:ext>
          </a:extLst>
        </xdr:cNvPr>
        <xdr:cNvSpPr/>
      </xdr:nvSpPr>
      <xdr:spPr>
        <a:xfrm>
          <a:off x="10584572" y="866775"/>
          <a:ext cx="360000" cy="360000"/>
        </a:xfrm>
        <a:prstGeom prst="roundRect">
          <a:avLst>
            <a:gd name="adj" fmla="val 5864"/>
          </a:avLst>
        </a:prstGeom>
        <a:solidFill>
          <a:srgbClr val="FFC000"/>
        </a:solidFill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21</xdr:col>
      <xdr:colOff>40397</xdr:colOff>
      <xdr:row>5</xdr:row>
      <xdr:rowOff>9525</xdr:rowOff>
    </xdr:from>
    <xdr:to>
      <xdr:col>21</xdr:col>
      <xdr:colOff>400397</xdr:colOff>
      <xdr:row>7</xdr:row>
      <xdr:rowOff>7575</xdr:rowOff>
    </xdr:to>
    <xdr:sp macro="" textlink="">
      <xdr:nvSpPr>
        <xdr:cNvPr id="43" name="Rectangle : coins arrondis 42">
          <a:extLst>
            <a:ext uri="{FF2B5EF4-FFF2-40B4-BE49-F238E27FC236}">
              <a16:creationId xmlns:a16="http://schemas.microsoft.com/office/drawing/2014/main" id="{F150A272-E33D-441B-A992-59E4B40AAE93}"/>
            </a:ext>
          </a:extLst>
        </xdr:cNvPr>
        <xdr:cNvSpPr/>
      </xdr:nvSpPr>
      <xdr:spPr>
        <a:xfrm>
          <a:off x="12641972" y="866775"/>
          <a:ext cx="360000" cy="360000"/>
        </a:xfrm>
        <a:prstGeom prst="roundRect">
          <a:avLst>
            <a:gd name="adj" fmla="val 5864"/>
          </a:avLst>
        </a:prstGeom>
        <a:solidFill>
          <a:srgbClr val="FFC000"/>
        </a:solidFill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7</xdr:col>
      <xdr:colOff>247650</xdr:colOff>
      <xdr:row>5</xdr:row>
      <xdr:rowOff>66675</xdr:rowOff>
    </xdr:from>
    <xdr:to>
      <xdr:col>7</xdr:col>
      <xdr:colOff>499650</xdr:colOff>
      <xdr:row>6</xdr:row>
      <xdr:rowOff>137700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920EF197-3858-4186-B07E-D70DEAF24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48175" y="9239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511950</xdr:colOff>
      <xdr:row>5</xdr:row>
      <xdr:rowOff>73800</xdr:rowOff>
    </xdr:from>
    <xdr:to>
      <xdr:col>11</xdr:col>
      <xdr:colOff>163875</xdr:colOff>
      <xdr:row>6</xdr:row>
      <xdr:rowOff>144825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058763F3-B34B-4D50-80EA-B0363F46A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2700" y="93105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14</xdr:col>
      <xdr:colOff>185700</xdr:colOff>
      <xdr:row>5</xdr:row>
      <xdr:rowOff>61875</xdr:rowOff>
    </xdr:from>
    <xdr:to>
      <xdr:col>14</xdr:col>
      <xdr:colOff>437700</xdr:colOff>
      <xdr:row>6</xdr:row>
      <xdr:rowOff>132900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D146EDCB-E210-4B76-B06A-B84839238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6750" y="9191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419025</xdr:colOff>
      <xdr:row>5</xdr:row>
      <xdr:rowOff>85650</xdr:rowOff>
    </xdr:from>
    <xdr:to>
      <xdr:col>18</xdr:col>
      <xdr:colOff>70950</xdr:colOff>
      <xdr:row>6</xdr:row>
      <xdr:rowOff>156675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C063E955-829F-4890-8060-F8B1B288F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0300" y="94290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85725</xdr:colOff>
      <xdr:row>5</xdr:row>
      <xdr:rowOff>76200</xdr:rowOff>
    </xdr:from>
    <xdr:to>
      <xdr:col>21</xdr:col>
      <xdr:colOff>337725</xdr:colOff>
      <xdr:row>6</xdr:row>
      <xdr:rowOff>147225</xdr:rowOff>
    </xdr:to>
    <xdr:pic>
      <xdr:nvPicPr>
        <xdr:cNvPr id="56" name="Image 55">
          <a:extLst>
            <a:ext uri="{FF2B5EF4-FFF2-40B4-BE49-F238E27FC236}">
              <a16:creationId xmlns:a16="http://schemas.microsoft.com/office/drawing/2014/main" id="{E04EAD6F-F439-4A11-9F0E-C462F34D2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87300" y="933450"/>
          <a:ext cx="252000" cy="252000"/>
        </a:xfrm>
        <a:prstGeom prst="rect">
          <a:avLst/>
        </a:prstGeom>
      </xdr:spPr>
    </xdr:pic>
    <xdr:clientData/>
  </xdr:twoCellAnchor>
  <xdr:twoCellAnchor>
    <xdr:from>
      <xdr:col>4</xdr:col>
      <xdr:colOff>504825</xdr:colOff>
      <xdr:row>5</xdr:row>
      <xdr:rowOff>57149</xdr:rowOff>
    </xdr:from>
    <xdr:to>
      <xdr:col>7</xdr:col>
      <xdr:colOff>95250</xdr:colOff>
      <xdr:row>7</xdr:row>
      <xdr:rowOff>28574</xdr:rowOff>
    </xdr:to>
    <xdr:sp macro="" textlink="Traitement!B2">
      <xdr:nvSpPr>
        <xdr:cNvPr id="47" name="ZoneTexte 46">
          <a:extLst>
            <a:ext uri="{FF2B5EF4-FFF2-40B4-BE49-F238E27FC236}">
              <a16:creationId xmlns:a16="http://schemas.microsoft.com/office/drawing/2014/main" id="{AE8A0937-E11C-455C-95BD-778D1E18A46D}"/>
            </a:ext>
          </a:extLst>
        </xdr:cNvPr>
        <xdr:cNvSpPr txBox="1"/>
      </xdr:nvSpPr>
      <xdr:spPr>
        <a:xfrm>
          <a:off x="2905125" y="914399"/>
          <a:ext cx="1390650" cy="333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5CE543C-A8EB-4156-9289-9AAEB07B5D15}" type="TxLink">
            <a:rPr lang="en-US" sz="1600" b="0" i="0" u="none" strike="noStrike">
              <a:solidFill>
                <a:srgbClr val="000000"/>
              </a:solidFill>
              <a:latin typeface="Montserrat SemiBold" panose="00000700000000000000" pitchFamily="2" charset="0"/>
              <a:cs typeface="Calibri"/>
            </a:rPr>
            <a:pPr/>
            <a:t> 182 856 € </a:t>
          </a:fld>
          <a:endParaRPr lang="fr-FR" sz="1600">
            <a:latin typeface="Montserrat SemiBold" panose="00000700000000000000" pitchFamily="2" charset="0"/>
          </a:endParaRPr>
        </a:p>
      </xdr:txBody>
    </xdr:sp>
    <xdr:clientData/>
  </xdr:twoCellAnchor>
  <xdr:twoCellAnchor>
    <xdr:from>
      <xdr:col>8</xdr:col>
      <xdr:colOff>171450</xdr:colOff>
      <xdr:row>5</xdr:row>
      <xdr:rowOff>57149</xdr:rowOff>
    </xdr:from>
    <xdr:to>
      <xdr:col>10</xdr:col>
      <xdr:colOff>361950</xdr:colOff>
      <xdr:row>7</xdr:row>
      <xdr:rowOff>28574</xdr:rowOff>
    </xdr:to>
    <xdr:sp macro="" textlink="Traitement!C2">
      <xdr:nvSpPr>
        <xdr:cNvPr id="48" name="ZoneTexte 47">
          <a:extLst>
            <a:ext uri="{FF2B5EF4-FFF2-40B4-BE49-F238E27FC236}">
              <a16:creationId xmlns:a16="http://schemas.microsoft.com/office/drawing/2014/main" id="{D1FA3762-0149-4C4B-BEB3-83FDC131C27A}"/>
            </a:ext>
          </a:extLst>
        </xdr:cNvPr>
        <xdr:cNvSpPr txBox="1"/>
      </xdr:nvSpPr>
      <xdr:spPr>
        <a:xfrm>
          <a:off x="4972050" y="914399"/>
          <a:ext cx="1390650" cy="333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B160910-BFFF-4EAF-B38C-8641FA6EF35E}" type="TxLink">
            <a:rPr lang="en-US" sz="1600" b="0" i="0" u="none" strike="noStrike">
              <a:solidFill>
                <a:srgbClr val="000000"/>
              </a:solidFill>
              <a:latin typeface="Montserrat SemiBold" panose="00000700000000000000" pitchFamily="2" charset="0"/>
              <a:cs typeface="Calibri"/>
            </a:rPr>
            <a:pPr/>
            <a:t> 36 571 € </a:t>
          </a:fld>
          <a:endParaRPr lang="fr-FR" sz="1600">
            <a:latin typeface="Montserrat SemiBold" panose="00000700000000000000" pitchFamily="2" charset="0"/>
          </a:endParaRPr>
        </a:p>
      </xdr:txBody>
    </xdr:sp>
    <xdr:clientData/>
  </xdr:twoCellAnchor>
  <xdr:twoCellAnchor>
    <xdr:from>
      <xdr:col>11</xdr:col>
      <xdr:colOff>438150</xdr:colOff>
      <xdr:row>5</xdr:row>
      <xdr:rowOff>57149</xdr:rowOff>
    </xdr:from>
    <xdr:to>
      <xdr:col>14</xdr:col>
      <xdr:colOff>28575</xdr:colOff>
      <xdr:row>7</xdr:row>
      <xdr:rowOff>28574</xdr:rowOff>
    </xdr:to>
    <xdr:sp macro="" textlink="Traitement!A2">
      <xdr:nvSpPr>
        <xdr:cNvPr id="49" name="ZoneTexte 48">
          <a:extLst>
            <a:ext uri="{FF2B5EF4-FFF2-40B4-BE49-F238E27FC236}">
              <a16:creationId xmlns:a16="http://schemas.microsoft.com/office/drawing/2014/main" id="{074C57F3-4D16-4550-BABC-2749FE82280F}"/>
            </a:ext>
          </a:extLst>
        </xdr:cNvPr>
        <xdr:cNvSpPr txBox="1"/>
      </xdr:nvSpPr>
      <xdr:spPr>
        <a:xfrm>
          <a:off x="7038975" y="914399"/>
          <a:ext cx="1390650" cy="333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C133E5B-7FD2-4B9F-95ED-7677783D35F8}" type="TxLink">
            <a:rPr lang="en-US" sz="1600" b="0" i="0" u="none" strike="noStrike">
              <a:solidFill>
                <a:srgbClr val="000000"/>
              </a:solidFill>
              <a:latin typeface="Montserrat SemiBold" panose="00000700000000000000" pitchFamily="2" charset="0"/>
              <a:cs typeface="Calibri"/>
            </a:rPr>
            <a:pPr/>
            <a:t> 219 427 € </a:t>
          </a:fld>
          <a:endParaRPr lang="fr-FR" sz="1600">
            <a:latin typeface="Montserrat SemiBold" panose="00000700000000000000" pitchFamily="2" charset="0"/>
          </a:endParaRPr>
        </a:p>
      </xdr:txBody>
    </xdr:sp>
    <xdr:clientData/>
  </xdr:twoCellAnchor>
  <xdr:twoCellAnchor>
    <xdr:from>
      <xdr:col>15</xdr:col>
      <xdr:colOff>85725</xdr:colOff>
      <xdr:row>5</xdr:row>
      <xdr:rowOff>57149</xdr:rowOff>
    </xdr:from>
    <xdr:to>
      <xdr:col>17</xdr:col>
      <xdr:colOff>276225</xdr:colOff>
      <xdr:row>7</xdr:row>
      <xdr:rowOff>28574</xdr:rowOff>
    </xdr:to>
    <xdr:sp macro="" textlink="Traitement!$F$4">
      <xdr:nvSpPr>
        <xdr:cNvPr id="51" name="ZoneTexte 50">
          <a:extLst>
            <a:ext uri="{FF2B5EF4-FFF2-40B4-BE49-F238E27FC236}">
              <a16:creationId xmlns:a16="http://schemas.microsoft.com/office/drawing/2014/main" id="{5BF8957F-1EDB-42C0-A0A3-0BB4947F58D7}"/>
            </a:ext>
          </a:extLst>
        </xdr:cNvPr>
        <xdr:cNvSpPr txBox="1"/>
      </xdr:nvSpPr>
      <xdr:spPr>
        <a:xfrm>
          <a:off x="9086850" y="914399"/>
          <a:ext cx="1390650" cy="333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9D30BCA-289C-4C67-A4DB-DFF21F0343B2}" type="TxLink">
            <a:rPr lang="en-US" sz="1600" b="0" i="0" u="none" strike="noStrike">
              <a:solidFill>
                <a:srgbClr val="000000"/>
              </a:solidFill>
              <a:latin typeface="Montserrat SemiBold" panose="00000700000000000000" pitchFamily="2" charset="0"/>
              <a:cs typeface="Calibri"/>
            </a:rPr>
            <a:pPr/>
            <a:t> 144 389 € </a:t>
          </a:fld>
          <a:endParaRPr lang="fr-FR" sz="1600">
            <a:latin typeface="Montserrat SemiBold" panose="00000700000000000000" pitchFamily="2" charset="0"/>
          </a:endParaRPr>
        </a:p>
      </xdr:txBody>
    </xdr:sp>
    <xdr:clientData/>
  </xdr:twoCellAnchor>
  <xdr:twoCellAnchor>
    <xdr:from>
      <xdr:col>18</xdr:col>
      <xdr:colOff>361950</xdr:colOff>
      <xdr:row>5</xdr:row>
      <xdr:rowOff>57149</xdr:rowOff>
    </xdr:from>
    <xdr:to>
      <xdr:col>20</xdr:col>
      <xdr:colOff>552450</xdr:colOff>
      <xdr:row>7</xdr:row>
      <xdr:rowOff>28574</xdr:rowOff>
    </xdr:to>
    <xdr:sp macro="" textlink="Traitement!$J$4">
      <xdr:nvSpPr>
        <xdr:cNvPr id="52" name="ZoneTexte 51">
          <a:extLst>
            <a:ext uri="{FF2B5EF4-FFF2-40B4-BE49-F238E27FC236}">
              <a16:creationId xmlns:a16="http://schemas.microsoft.com/office/drawing/2014/main" id="{64BF6C6A-33DC-4F2E-ABF4-964ECBEA0037}"/>
            </a:ext>
          </a:extLst>
        </xdr:cNvPr>
        <xdr:cNvSpPr txBox="1"/>
      </xdr:nvSpPr>
      <xdr:spPr>
        <a:xfrm>
          <a:off x="11163300" y="914399"/>
          <a:ext cx="1390650" cy="333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55828E7-991A-4AB3-95DF-7220B3246092}" type="TxLink">
            <a:rPr lang="en-US" sz="1600" b="0" i="0" u="none" strike="noStrike">
              <a:solidFill>
                <a:srgbClr val="000000"/>
              </a:solidFill>
              <a:latin typeface="Montserrat SemiBold" panose="00000700000000000000" pitchFamily="2" charset="0"/>
              <a:cs typeface="Calibri"/>
            </a:rPr>
            <a:pPr/>
            <a:t> 75 038 € </a:t>
          </a:fld>
          <a:endParaRPr lang="fr-FR" sz="1600">
            <a:latin typeface="Montserrat SemiBold" panose="00000700000000000000" pitchFamily="2" charset="0"/>
          </a:endParaRPr>
        </a:p>
      </xdr:txBody>
    </xdr:sp>
    <xdr:clientData/>
  </xdr:twoCellAnchor>
  <xdr:twoCellAnchor>
    <xdr:from>
      <xdr:col>11</xdr:col>
      <xdr:colOff>476249</xdr:colOff>
      <xdr:row>12</xdr:row>
      <xdr:rowOff>19049</xdr:rowOff>
    </xdr:from>
    <xdr:to>
      <xdr:col>21</xdr:col>
      <xdr:colOff>333374</xdr:colOff>
      <xdr:row>19</xdr:row>
      <xdr:rowOff>142875</xdr:rowOff>
    </xdr:to>
    <xdr:graphicFrame macro="">
      <xdr:nvGraphicFramePr>
        <xdr:cNvPr id="53" name="Graphique 52">
          <a:extLst>
            <a:ext uri="{FF2B5EF4-FFF2-40B4-BE49-F238E27FC236}">
              <a16:creationId xmlns:a16="http://schemas.microsoft.com/office/drawing/2014/main" id="{C2D2DE87-FCB4-4B80-8178-CE4F56ADB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495300</xdr:colOff>
      <xdr:row>12</xdr:row>
      <xdr:rowOff>9524</xdr:rowOff>
    </xdr:from>
    <xdr:to>
      <xdr:col>7</xdr:col>
      <xdr:colOff>552450</xdr:colOff>
      <xdr:row>19</xdr:row>
      <xdr:rowOff>171449</xdr:rowOff>
    </xdr:to>
    <xdr:graphicFrame macro="">
      <xdr:nvGraphicFramePr>
        <xdr:cNvPr id="54" name="Graphique 53">
          <a:extLst>
            <a:ext uri="{FF2B5EF4-FFF2-40B4-BE49-F238E27FC236}">
              <a16:creationId xmlns:a16="http://schemas.microsoft.com/office/drawing/2014/main" id="{74685846-37AD-4382-953F-7D77CF3CA8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476249</xdr:colOff>
      <xdr:row>14</xdr:row>
      <xdr:rowOff>19049</xdr:rowOff>
    </xdr:from>
    <xdr:to>
      <xdr:col>6</xdr:col>
      <xdr:colOff>561975</xdr:colOff>
      <xdr:row>16</xdr:row>
      <xdr:rowOff>57150</xdr:rowOff>
    </xdr:to>
    <xdr:sp macro="" textlink="Traitement!G30">
      <xdr:nvSpPr>
        <xdr:cNvPr id="55" name="ZoneTexte 54">
          <a:extLst>
            <a:ext uri="{FF2B5EF4-FFF2-40B4-BE49-F238E27FC236}">
              <a16:creationId xmlns:a16="http://schemas.microsoft.com/office/drawing/2014/main" id="{E5397507-9EAE-48A2-A018-B093BC91E67A}"/>
            </a:ext>
          </a:extLst>
        </xdr:cNvPr>
        <xdr:cNvSpPr txBox="1"/>
      </xdr:nvSpPr>
      <xdr:spPr>
        <a:xfrm>
          <a:off x="3476624" y="2505074"/>
          <a:ext cx="685801" cy="4000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D499B08-15D5-4514-8A06-11F47E9EEA4A}" type="TxLink">
            <a:rPr lang="en-US" sz="1800" b="0" i="0" u="none" strike="noStrike">
              <a:solidFill>
                <a:schemeClr val="bg1"/>
              </a:solidFill>
              <a:latin typeface="Montserrat SemiBold" panose="00000700000000000000" pitchFamily="2" charset="0"/>
              <a:cs typeface="Calibri"/>
            </a:rPr>
            <a:pPr/>
            <a:t>66%</a:t>
          </a:fld>
          <a:endParaRPr lang="fr-FR" sz="2800">
            <a:solidFill>
              <a:schemeClr val="bg1"/>
            </a:solidFill>
            <a:latin typeface="Montserrat SemiBold" panose="00000700000000000000" pitchFamily="2" charset="0"/>
          </a:endParaRPr>
        </a:p>
      </xdr:txBody>
    </xdr:sp>
    <xdr:clientData/>
  </xdr:twoCellAnchor>
  <xdr:twoCellAnchor>
    <xdr:from>
      <xdr:col>5</xdr:col>
      <xdr:colOff>361950</xdr:colOff>
      <xdr:row>15</xdr:row>
      <xdr:rowOff>133350</xdr:rowOff>
    </xdr:from>
    <xdr:to>
      <xdr:col>7</xdr:col>
      <xdr:colOff>47625</xdr:colOff>
      <xdr:row>17</xdr:row>
      <xdr:rowOff>57150</xdr:rowOff>
    </xdr:to>
    <xdr:sp macro="" textlink="">
      <xdr:nvSpPr>
        <xdr:cNvPr id="57" name="ZoneTexte 56">
          <a:extLst>
            <a:ext uri="{FF2B5EF4-FFF2-40B4-BE49-F238E27FC236}">
              <a16:creationId xmlns:a16="http://schemas.microsoft.com/office/drawing/2014/main" id="{248153AC-95BE-425D-AFE1-D414E921162B}"/>
            </a:ext>
          </a:extLst>
        </xdr:cNvPr>
        <xdr:cNvSpPr txBox="1"/>
      </xdr:nvSpPr>
      <xdr:spPr>
        <a:xfrm>
          <a:off x="3362325" y="2800350"/>
          <a:ext cx="8858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bg1"/>
              </a:solidFill>
            </a:rPr>
            <a:t>Sont payées</a:t>
          </a:r>
        </a:p>
      </xdr:txBody>
    </xdr:sp>
    <xdr:clientData/>
  </xdr:twoCellAnchor>
  <xdr:twoCellAnchor>
    <xdr:from>
      <xdr:col>8</xdr:col>
      <xdr:colOff>161924</xdr:colOff>
      <xdr:row>12</xdr:row>
      <xdr:rowOff>9524</xdr:rowOff>
    </xdr:from>
    <xdr:to>
      <xdr:col>11</xdr:col>
      <xdr:colOff>219299</xdr:colOff>
      <xdr:row>19</xdr:row>
      <xdr:rowOff>171899</xdr:rowOff>
    </xdr:to>
    <xdr:graphicFrame macro="">
      <xdr:nvGraphicFramePr>
        <xdr:cNvPr id="58" name="Graphique 57">
          <a:extLst>
            <a:ext uri="{FF2B5EF4-FFF2-40B4-BE49-F238E27FC236}">
              <a16:creationId xmlns:a16="http://schemas.microsoft.com/office/drawing/2014/main" id="{AF432473-D2DA-495F-827C-C93AF4E175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259080</xdr:colOff>
      <xdr:row>19</xdr:row>
      <xdr:rowOff>152400</xdr:rowOff>
    </xdr:from>
    <xdr:to>
      <xdr:col>8</xdr:col>
      <xdr:colOff>331080</xdr:colOff>
      <xdr:row>20</xdr:row>
      <xdr:rowOff>41520</xdr:rowOff>
    </xdr:to>
    <xdr:sp macro="" textlink="">
      <xdr:nvSpPr>
        <xdr:cNvPr id="24" name="Ellipse 23">
          <a:extLst>
            <a:ext uri="{FF2B5EF4-FFF2-40B4-BE49-F238E27FC236}">
              <a16:creationId xmlns:a16="http://schemas.microsoft.com/office/drawing/2014/main" id="{4AD4044A-6447-4E4D-BFC1-19C73BB11670}"/>
            </a:ext>
          </a:extLst>
        </xdr:cNvPr>
        <xdr:cNvSpPr/>
      </xdr:nvSpPr>
      <xdr:spPr>
        <a:xfrm>
          <a:off x="5085080" y="3606800"/>
          <a:ext cx="72000" cy="73270"/>
        </a:xfrm>
        <a:prstGeom prst="ellipse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106680</xdr:colOff>
      <xdr:row>19</xdr:row>
      <xdr:rowOff>152400</xdr:rowOff>
    </xdr:from>
    <xdr:to>
      <xdr:col>9</xdr:col>
      <xdr:colOff>178680</xdr:colOff>
      <xdr:row>20</xdr:row>
      <xdr:rowOff>41520</xdr:rowOff>
    </xdr:to>
    <xdr:sp macro="" textlink="">
      <xdr:nvSpPr>
        <xdr:cNvPr id="59" name="Ellipse 58">
          <a:extLst>
            <a:ext uri="{FF2B5EF4-FFF2-40B4-BE49-F238E27FC236}">
              <a16:creationId xmlns:a16="http://schemas.microsoft.com/office/drawing/2014/main" id="{5E3195E3-4699-456D-889E-2F428598F74A}"/>
            </a:ext>
          </a:extLst>
        </xdr:cNvPr>
        <xdr:cNvSpPr/>
      </xdr:nvSpPr>
      <xdr:spPr>
        <a:xfrm>
          <a:off x="5535930" y="3606800"/>
          <a:ext cx="72000" cy="73270"/>
        </a:xfrm>
        <a:prstGeom prst="ellipse">
          <a:avLst/>
        </a:prstGeom>
        <a:solidFill>
          <a:srgbClr val="FF6BA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266700</xdr:colOff>
      <xdr:row>19</xdr:row>
      <xdr:rowOff>152400</xdr:rowOff>
    </xdr:from>
    <xdr:to>
      <xdr:col>10</xdr:col>
      <xdr:colOff>338700</xdr:colOff>
      <xdr:row>20</xdr:row>
      <xdr:rowOff>41520</xdr:rowOff>
    </xdr:to>
    <xdr:sp macro="" textlink="">
      <xdr:nvSpPr>
        <xdr:cNvPr id="60" name="Ellipse 59">
          <a:extLst>
            <a:ext uri="{FF2B5EF4-FFF2-40B4-BE49-F238E27FC236}">
              <a16:creationId xmlns:a16="http://schemas.microsoft.com/office/drawing/2014/main" id="{67431645-EAC3-452B-A0F4-2569B5468DE1}"/>
            </a:ext>
          </a:extLst>
        </xdr:cNvPr>
        <xdr:cNvSpPr/>
      </xdr:nvSpPr>
      <xdr:spPr>
        <a:xfrm>
          <a:off x="6299200" y="3606800"/>
          <a:ext cx="72000" cy="73270"/>
        </a:xfrm>
        <a:prstGeom prst="ellipse">
          <a:avLst/>
        </a:prstGeom>
        <a:solidFill>
          <a:srgbClr val="3C41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260350</xdr:colOff>
      <xdr:row>19</xdr:row>
      <xdr:rowOff>88900</xdr:rowOff>
    </xdr:from>
    <xdr:to>
      <xdr:col>9</xdr:col>
      <xdr:colOff>139700</xdr:colOff>
      <xdr:row>20</xdr:row>
      <xdr:rowOff>69850</xdr:rowOff>
    </xdr:to>
    <xdr:sp macro="" textlink="">
      <xdr:nvSpPr>
        <xdr:cNvPr id="61" name="ZoneTexte 60">
          <a:extLst>
            <a:ext uri="{FF2B5EF4-FFF2-40B4-BE49-F238E27FC236}">
              <a16:creationId xmlns:a16="http://schemas.microsoft.com/office/drawing/2014/main" id="{21D62053-5C84-4E40-B604-4224BA408DEA}"/>
            </a:ext>
          </a:extLst>
        </xdr:cNvPr>
        <xdr:cNvSpPr txBox="1"/>
      </xdr:nvSpPr>
      <xdr:spPr>
        <a:xfrm>
          <a:off x="5086350" y="3543300"/>
          <a:ext cx="482600" cy="165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/>
            <a:t>Espèce</a:t>
          </a:r>
        </a:p>
      </xdr:txBody>
    </xdr:sp>
    <xdr:clientData/>
  </xdr:twoCellAnchor>
  <xdr:twoCellAnchor>
    <xdr:from>
      <xdr:col>9</xdr:col>
      <xdr:colOff>114300</xdr:colOff>
      <xdr:row>19</xdr:row>
      <xdr:rowOff>69850</xdr:rowOff>
    </xdr:from>
    <xdr:to>
      <xdr:col>10</xdr:col>
      <xdr:colOff>330200</xdr:colOff>
      <xdr:row>20</xdr:row>
      <xdr:rowOff>76200</xdr:rowOff>
    </xdr:to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13606A9F-A59F-471B-99D5-152FBC0A25CE}"/>
            </a:ext>
          </a:extLst>
        </xdr:cNvPr>
        <xdr:cNvSpPr txBox="1"/>
      </xdr:nvSpPr>
      <xdr:spPr>
        <a:xfrm>
          <a:off x="5543550" y="3524250"/>
          <a:ext cx="8191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/>
            <a:t>Carte Bancaire</a:t>
          </a:r>
        </a:p>
      </xdr:txBody>
    </xdr:sp>
    <xdr:clientData/>
  </xdr:twoCellAnchor>
  <xdr:twoCellAnchor>
    <xdr:from>
      <xdr:col>10</xdr:col>
      <xdr:colOff>279400</xdr:colOff>
      <xdr:row>19</xdr:row>
      <xdr:rowOff>68580</xdr:rowOff>
    </xdr:from>
    <xdr:to>
      <xdr:col>11</xdr:col>
      <xdr:colOff>198120</xdr:colOff>
      <xdr:row>20</xdr:row>
      <xdr:rowOff>101600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7FA005B9-0565-4DB0-B110-2D376E50C083}"/>
            </a:ext>
          </a:extLst>
        </xdr:cNvPr>
        <xdr:cNvSpPr txBox="1"/>
      </xdr:nvSpPr>
      <xdr:spPr>
        <a:xfrm>
          <a:off x="6311900" y="3522980"/>
          <a:ext cx="521970" cy="2171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/>
            <a:t>Chèque</a:t>
          </a:r>
        </a:p>
      </xdr:txBody>
    </xdr:sp>
    <xdr:clientData/>
  </xdr:twoCellAnchor>
  <xdr:twoCellAnchor>
    <xdr:from>
      <xdr:col>4</xdr:col>
      <xdr:colOff>511629</xdr:colOff>
      <xdr:row>22</xdr:row>
      <xdr:rowOff>163285</xdr:rowOff>
    </xdr:from>
    <xdr:to>
      <xdr:col>11</xdr:col>
      <xdr:colOff>228600</xdr:colOff>
      <xdr:row>31</xdr:row>
      <xdr:rowOff>174171</xdr:rowOff>
    </xdr:to>
    <xdr:graphicFrame macro="">
      <xdr:nvGraphicFramePr>
        <xdr:cNvPr id="69" name="Graphique 68">
          <a:extLst>
            <a:ext uri="{FF2B5EF4-FFF2-40B4-BE49-F238E27FC236}">
              <a16:creationId xmlns:a16="http://schemas.microsoft.com/office/drawing/2014/main" id="{6464E9C3-DF0C-4097-90E7-3383533B94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455083</xdr:colOff>
      <xdr:row>24</xdr:row>
      <xdr:rowOff>120801</xdr:rowOff>
    </xdr:from>
    <xdr:to>
      <xdr:col>13</xdr:col>
      <xdr:colOff>395254</xdr:colOff>
      <xdr:row>26</xdr:row>
      <xdr:rowOff>45886</xdr:rowOff>
    </xdr:to>
    <xdr:sp macro="" textlink="$AA$22">
      <xdr:nvSpPr>
        <xdr:cNvPr id="70" name="ZoneTexte 69">
          <a:extLst>
            <a:ext uri="{FF2B5EF4-FFF2-40B4-BE49-F238E27FC236}">
              <a16:creationId xmlns:a16="http://schemas.microsoft.com/office/drawing/2014/main" id="{60ED7B6D-F84D-4B37-AEC9-D2E265600BE5}"/>
            </a:ext>
          </a:extLst>
        </xdr:cNvPr>
        <xdr:cNvSpPr txBox="1"/>
      </xdr:nvSpPr>
      <xdr:spPr>
        <a:xfrm>
          <a:off x="7040940" y="4518630"/>
          <a:ext cx="1137600" cy="2951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60C5DEB-E455-486D-B5E1-1B63F72A734A}" type="TxLink">
            <a:rPr lang="en-US" sz="1000" b="0" i="0" u="none" strike="noStrike">
              <a:solidFill>
                <a:srgbClr val="000000"/>
              </a:solidFill>
              <a:latin typeface="Montserrat SemiBold" panose="00000700000000000000" pitchFamily="2" charset="0"/>
              <a:cs typeface="Calibri"/>
            </a:rPr>
            <a:pPr/>
            <a:t>F2024-11-0012</a:t>
          </a:fld>
          <a:endParaRPr lang="fr-FR" sz="1000">
            <a:latin typeface="Montserrat SemiBold" panose="00000700000000000000" pitchFamily="2" charset="0"/>
          </a:endParaRPr>
        </a:p>
      </xdr:txBody>
    </xdr:sp>
    <xdr:clientData/>
  </xdr:twoCellAnchor>
  <xdr:twoCellAnchor>
    <xdr:from>
      <xdr:col>11</xdr:col>
      <xdr:colOff>455083</xdr:colOff>
      <xdr:row>26</xdr:row>
      <xdr:rowOff>117172</xdr:rowOff>
    </xdr:from>
    <xdr:to>
      <xdr:col>13</xdr:col>
      <xdr:colOff>395254</xdr:colOff>
      <xdr:row>28</xdr:row>
      <xdr:rowOff>42257</xdr:rowOff>
    </xdr:to>
    <xdr:sp macro="" textlink="$AA$23">
      <xdr:nvSpPr>
        <xdr:cNvPr id="71" name="ZoneTexte 70">
          <a:extLst>
            <a:ext uri="{FF2B5EF4-FFF2-40B4-BE49-F238E27FC236}">
              <a16:creationId xmlns:a16="http://schemas.microsoft.com/office/drawing/2014/main" id="{C154B07E-8DBA-432D-B5C4-F0B18A94E5FB}"/>
            </a:ext>
          </a:extLst>
        </xdr:cNvPr>
        <xdr:cNvSpPr txBox="1"/>
      </xdr:nvSpPr>
      <xdr:spPr>
        <a:xfrm>
          <a:off x="7040940" y="4885115"/>
          <a:ext cx="1137600" cy="2951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533D584-45BD-4048-A638-EB94A36740F1}" type="TxLink">
            <a:rPr lang="en-US" sz="1000" b="0" i="0" u="none" strike="noStrike">
              <a:solidFill>
                <a:srgbClr val="000000"/>
              </a:solidFill>
              <a:latin typeface="Montserrat SemiBold" panose="00000700000000000000" pitchFamily="2" charset="0"/>
              <a:cs typeface="Calibri"/>
            </a:rPr>
            <a:pPr/>
            <a:t>F2024-11-0011</a:t>
          </a:fld>
          <a:endParaRPr lang="fr-FR" sz="1000">
            <a:latin typeface="Montserrat SemiBold" panose="00000700000000000000" pitchFamily="2" charset="0"/>
          </a:endParaRPr>
        </a:p>
      </xdr:txBody>
    </xdr:sp>
    <xdr:clientData/>
  </xdr:twoCellAnchor>
  <xdr:twoCellAnchor>
    <xdr:from>
      <xdr:col>11</xdr:col>
      <xdr:colOff>455083</xdr:colOff>
      <xdr:row>28</xdr:row>
      <xdr:rowOff>113543</xdr:rowOff>
    </xdr:from>
    <xdr:to>
      <xdr:col>13</xdr:col>
      <xdr:colOff>395254</xdr:colOff>
      <xdr:row>30</xdr:row>
      <xdr:rowOff>38629</xdr:rowOff>
    </xdr:to>
    <xdr:sp macro="" textlink="$AA$24">
      <xdr:nvSpPr>
        <xdr:cNvPr id="72" name="ZoneTexte 71">
          <a:extLst>
            <a:ext uri="{FF2B5EF4-FFF2-40B4-BE49-F238E27FC236}">
              <a16:creationId xmlns:a16="http://schemas.microsoft.com/office/drawing/2014/main" id="{B54F0B1E-64DE-44CE-A401-779CB855838C}"/>
            </a:ext>
          </a:extLst>
        </xdr:cNvPr>
        <xdr:cNvSpPr txBox="1"/>
      </xdr:nvSpPr>
      <xdr:spPr>
        <a:xfrm>
          <a:off x="7040940" y="5251600"/>
          <a:ext cx="1137600" cy="295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8BCA0F3-AE75-4435-8200-B1590CAC6BF5}" type="TxLink">
            <a:rPr lang="en-US" sz="1000" b="0" i="0" u="none" strike="noStrike">
              <a:solidFill>
                <a:srgbClr val="000000"/>
              </a:solidFill>
              <a:latin typeface="Montserrat SemiBold" panose="00000700000000000000" pitchFamily="2" charset="0"/>
              <a:cs typeface="Calibri"/>
            </a:rPr>
            <a:pPr/>
            <a:t>F2024-11-0010</a:t>
          </a:fld>
          <a:endParaRPr lang="en-US" sz="1000">
            <a:latin typeface="Montserrat SemiBold" panose="00000700000000000000" pitchFamily="2" charset="0"/>
          </a:endParaRPr>
        </a:p>
      </xdr:txBody>
    </xdr:sp>
    <xdr:clientData/>
  </xdr:twoCellAnchor>
  <xdr:twoCellAnchor>
    <xdr:from>
      <xdr:col>11</xdr:col>
      <xdr:colOff>455083</xdr:colOff>
      <xdr:row>30</xdr:row>
      <xdr:rowOff>109916</xdr:rowOff>
    </xdr:from>
    <xdr:to>
      <xdr:col>13</xdr:col>
      <xdr:colOff>395254</xdr:colOff>
      <xdr:row>32</xdr:row>
      <xdr:rowOff>35002</xdr:rowOff>
    </xdr:to>
    <xdr:sp macro="" textlink="$AA$25">
      <xdr:nvSpPr>
        <xdr:cNvPr id="73" name="ZoneTexte 72">
          <a:extLst>
            <a:ext uri="{FF2B5EF4-FFF2-40B4-BE49-F238E27FC236}">
              <a16:creationId xmlns:a16="http://schemas.microsoft.com/office/drawing/2014/main" id="{0F0BB604-3AAE-4602-B376-69ADE77786F9}"/>
            </a:ext>
          </a:extLst>
        </xdr:cNvPr>
        <xdr:cNvSpPr txBox="1"/>
      </xdr:nvSpPr>
      <xdr:spPr>
        <a:xfrm>
          <a:off x="7067550" y="5647116"/>
          <a:ext cx="1142437" cy="2976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D9B763B-9DBD-4E3F-9900-1CDA24613FBF}" type="TxLink">
            <a:rPr lang="en-US" sz="1000" b="0" i="0" u="none" strike="noStrike">
              <a:solidFill>
                <a:srgbClr val="000000"/>
              </a:solidFill>
              <a:latin typeface="Montserrat SemiBold" panose="00000700000000000000" pitchFamily="2" charset="0"/>
              <a:cs typeface="Calibri"/>
            </a:rPr>
            <a:pPr/>
            <a:t>F2024-11-0009</a:t>
          </a:fld>
          <a:endParaRPr lang="fr-FR" sz="1000">
            <a:latin typeface="Montserrat SemiBold" panose="00000700000000000000" pitchFamily="2" charset="0"/>
          </a:endParaRPr>
        </a:p>
      </xdr:txBody>
    </xdr:sp>
    <xdr:clientData/>
  </xdr:twoCellAnchor>
  <xdr:twoCellAnchor>
    <xdr:from>
      <xdr:col>13</xdr:col>
      <xdr:colOff>455083</xdr:colOff>
      <xdr:row>24</xdr:row>
      <xdr:rowOff>109916</xdr:rowOff>
    </xdr:from>
    <xdr:to>
      <xdr:col>15</xdr:col>
      <xdr:colOff>395255</xdr:colOff>
      <xdr:row>26</xdr:row>
      <xdr:rowOff>35001</xdr:rowOff>
    </xdr:to>
    <xdr:sp macro="" textlink="$AB$22">
      <xdr:nvSpPr>
        <xdr:cNvPr id="68" name="ZoneTexte 67">
          <a:extLst>
            <a:ext uri="{FF2B5EF4-FFF2-40B4-BE49-F238E27FC236}">
              <a16:creationId xmlns:a16="http://schemas.microsoft.com/office/drawing/2014/main" id="{8B9D69B8-B720-4F41-A4C0-C5A9405568A4}"/>
            </a:ext>
          </a:extLst>
        </xdr:cNvPr>
        <xdr:cNvSpPr txBox="1"/>
      </xdr:nvSpPr>
      <xdr:spPr>
        <a:xfrm>
          <a:off x="8238369" y="4507745"/>
          <a:ext cx="1137600" cy="2951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5696E7E-FDCB-4829-8A2B-213A704DB12D}" type="TxLink">
            <a:rPr lang="en-US" sz="1000" b="0" i="0" u="none" strike="noStrike">
              <a:solidFill>
                <a:srgbClr val="000000"/>
              </a:solidFill>
              <a:latin typeface="Montserrat SemiBold" panose="00000700000000000000" pitchFamily="2" charset="0"/>
              <a:cs typeface="Calibri"/>
            </a:rPr>
            <a:pPr/>
            <a:t>17/11/2024</a:t>
          </a:fld>
          <a:endParaRPr lang="fr-FR" sz="800">
            <a:latin typeface="Montserrat SemiBold" panose="00000700000000000000" pitchFamily="2" charset="0"/>
          </a:endParaRPr>
        </a:p>
      </xdr:txBody>
    </xdr:sp>
    <xdr:clientData/>
  </xdr:twoCellAnchor>
  <xdr:twoCellAnchor>
    <xdr:from>
      <xdr:col>13</xdr:col>
      <xdr:colOff>455083</xdr:colOff>
      <xdr:row>26</xdr:row>
      <xdr:rowOff>109916</xdr:rowOff>
    </xdr:from>
    <xdr:to>
      <xdr:col>15</xdr:col>
      <xdr:colOff>395255</xdr:colOff>
      <xdr:row>28</xdr:row>
      <xdr:rowOff>35001</xdr:rowOff>
    </xdr:to>
    <xdr:sp macro="" textlink="$AB$23">
      <xdr:nvSpPr>
        <xdr:cNvPr id="74" name="ZoneTexte 73">
          <a:extLst>
            <a:ext uri="{FF2B5EF4-FFF2-40B4-BE49-F238E27FC236}">
              <a16:creationId xmlns:a16="http://schemas.microsoft.com/office/drawing/2014/main" id="{19DA3CE6-D12C-432C-A99A-B95D0FA91BB9}"/>
            </a:ext>
          </a:extLst>
        </xdr:cNvPr>
        <xdr:cNvSpPr txBox="1"/>
      </xdr:nvSpPr>
      <xdr:spPr>
        <a:xfrm>
          <a:off x="8238369" y="4877859"/>
          <a:ext cx="1137600" cy="2951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7FED783-931A-41AB-B4AB-B77CAA18F801}" type="TxLink">
            <a:rPr lang="en-US" sz="1000" b="0" i="0" u="none" strike="noStrike">
              <a:solidFill>
                <a:srgbClr val="000000"/>
              </a:solidFill>
              <a:latin typeface="Montserrat SemiBold" panose="00000700000000000000" pitchFamily="2" charset="0"/>
              <a:cs typeface="Calibri"/>
            </a:rPr>
            <a:pPr/>
            <a:t>17/11/2024</a:t>
          </a:fld>
          <a:endParaRPr lang="fr-FR" sz="800">
            <a:latin typeface="Montserrat SemiBold" panose="00000700000000000000" pitchFamily="2" charset="0"/>
          </a:endParaRPr>
        </a:p>
      </xdr:txBody>
    </xdr:sp>
    <xdr:clientData/>
  </xdr:twoCellAnchor>
  <xdr:twoCellAnchor>
    <xdr:from>
      <xdr:col>13</xdr:col>
      <xdr:colOff>455083</xdr:colOff>
      <xdr:row>28</xdr:row>
      <xdr:rowOff>109916</xdr:rowOff>
    </xdr:from>
    <xdr:to>
      <xdr:col>15</xdr:col>
      <xdr:colOff>395255</xdr:colOff>
      <xdr:row>30</xdr:row>
      <xdr:rowOff>35002</xdr:rowOff>
    </xdr:to>
    <xdr:sp macro="" textlink="$AB$24">
      <xdr:nvSpPr>
        <xdr:cNvPr id="75" name="ZoneTexte 74">
          <a:extLst>
            <a:ext uri="{FF2B5EF4-FFF2-40B4-BE49-F238E27FC236}">
              <a16:creationId xmlns:a16="http://schemas.microsoft.com/office/drawing/2014/main" id="{B172218C-4B7E-4922-8B81-BA9BDD9EE911}"/>
            </a:ext>
          </a:extLst>
        </xdr:cNvPr>
        <xdr:cNvSpPr txBox="1"/>
      </xdr:nvSpPr>
      <xdr:spPr>
        <a:xfrm>
          <a:off x="8238369" y="5247973"/>
          <a:ext cx="1137600" cy="295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9290AD4-1605-4901-8B06-E898F276C9BE}" type="TxLink">
            <a:rPr lang="en-US" sz="1000" b="0" i="0" u="none" strike="noStrike">
              <a:solidFill>
                <a:srgbClr val="000000"/>
              </a:solidFill>
              <a:latin typeface="Montserrat SemiBold" panose="00000700000000000000" pitchFamily="2" charset="0"/>
              <a:cs typeface="Calibri"/>
            </a:rPr>
            <a:pPr/>
            <a:t>17/11/2024</a:t>
          </a:fld>
          <a:endParaRPr lang="en-US" sz="800">
            <a:latin typeface="Montserrat SemiBold" panose="00000700000000000000" pitchFamily="2" charset="0"/>
          </a:endParaRPr>
        </a:p>
      </xdr:txBody>
    </xdr:sp>
    <xdr:clientData/>
  </xdr:twoCellAnchor>
  <xdr:twoCellAnchor>
    <xdr:from>
      <xdr:col>13</xdr:col>
      <xdr:colOff>455083</xdr:colOff>
      <xdr:row>30</xdr:row>
      <xdr:rowOff>109916</xdr:rowOff>
    </xdr:from>
    <xdr:to>
      <xdr:col>15</xdr:col>
      <xdr:colOff>395255</xdr:colOff>
      <xdr:row>32</xdr:row>
      <xdr:rowOff>35002</xdr:rowOff>
    </xdr:to>
    <xdr:sp macro="" textlink="$AB$25">
      <xdr:nvSpPr>
        <xdr:cNvPr id="76" name="ZoneTexte 75">
          <a:extLst>
            <a:ext uri="{FF2B5EF4-FFF2-40B4-BE49-F238E27FC236}">
              <a16:creationId xmlns:a16="http://schemas.microsoft.com/office/drawing/2014/main" id="{9D7F695E-ABA0-488D-A64F-DE9CFD924327}"/>
            </a:ext>
          </a:extLst>
        </xdr:cNvPr>
        <xdr:cNvSpPr txBox="1"/>
      </xdr:nvSpPr>
      <xdr:spPr>
        <a:xfrm>
          <a:off x="8269816" y="5647116"/>
          <a:ext cx="1142439" cy="2976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BEFB748-41D8-4EE2-AA75-5F8353F6550C}" type="TxLink">
            <a:rPr lang="en-US" sz="1000" b="0" i="0" u="none" strike="noStrike">
              <a:solidFill>
                <a:srgbClr val="000000"/>
              </a:solidFill>
              <a:latin typeface="Montserrat SemiBold" panose="00000700000000000000" pitchFamily="2" charset="0"/>
              <a:cs typeface="Calibri"/>
            </a:rPr>
            <a:pPr/>
            <a:t>17/11/2024</a:t>
          </a:fld>
          <a:endParaRPr lang="fr-FR" sz="800">
            <a:latin typeface="Montserrat SemiBold" panose="00000700000000000000" pitchFamily="2" charset="0"/>
          </a:endParaRPr>
        </a:p>
      </xdr:txBody>
    </xdr:sp>
    <xdr:clientData/>
  </xdr:twoCellAnchor>
  <xdr:twoCellAnchor>
    <xdr:from>
      <xdr:col>15</xdr:col>
      <xdr:colOff>462383</xdr:colOff>
      <xdr:row>24</xdr:row>
      <xdr:rowOff>99029</xdr:rowOff>
    </xdr:from>
    <xdr:to>
      <xdr:col>18</xdr:col>
      <xdr:colOff>139894</xdr:colOff>
      <xdr:row>26</xdr:row>
      <xdr:rowOff>45960</xdr:rowOff>
    </xdr:to>
    <xdr:sp macro="" textlink="$AC$22">
      <xdr:nvSpPr>
        <xdr:cNvPr id="77" name="ZoneTexte 76">
          <a:extLst>
            <a:ext uri="{FF2B5EF4-FFF2-40B4-BE49-F238E27FC236}">
              <a16:creationId xmlns:a16="http://schemas.microsoft.com/office/drawing/2014/main" id="{62C9E0DA-C69E-4597-AE55-9773D961F882}"/>
            </a:ext>
          </a:extLst>
        </xdr:cNvPr>
        <xdr:cNvSpPr txBox="1"/>
      </xdr:nvSpPr>
      <xdr:spPr>
        <a:xfrm>
          <a:off x="9443097" y="4496858"/>
          <a:ext cx="1473654" cy="3170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4B58104-71A6-4745-AEBE-22419ADEB465}" type="TxLink">
            <a:rPr lang="en-US" sz="1000" b="0" i="0" u="none" strike="noStrike">
              <a:solidFill>
                <a:srgbClr val="000000"/>
              </a:solidFill>
              <a:latin typeface="Montserrat SemiBold" panose="00000700000000000000" pitchFamily="2" charset="0"/>
              <a:cs typeface="Calibri"/>
            </a:rPr>
            <a:pPr/>
            <a:t>Laurianne Fleur</a:t>
          </a:fld>
          <a:endParaRPr lang="fr-FR" sz="600">
            <a:latin typeface="Montserrat SemiBold" panose="00000700000000000000" pitchFamily="2" charset="0"/>
          </a:endParaRPr>
        </a:p>
      </xdr:txBody>
    </xdr:sp>
    <xdr:clientData/>
  </xdr:twoCellAnchor>
  <xdr:twoCellAnchor>
    <xdr:from>
      <xdr:col>15</xdr:col>
      <xdr:colOff>462383</xdr:colOff>
      <xdr:row>26</xdr:row>
      <xdr:rowOff>102658</xdr:rowOff>
    </xdr:from>
    <xdr:to>
      <xdr:col>18</xdr:col>
      <xdr:colOff>139894</xdr:colOff>
      <xdr:row>28</xdr:row>
      <xdr:rowOff>49589</xdr:rowOff>
    </xdr:to>
    <xdr:sp macro="" textlink="$AC$23">
      <xdr:nvSpPr>
        <xdr:cNvPr id="78" name="ZoneTexte 77">
          <a:extLst>
            <a:ext uri="{FF2B5EF4-FFF2-40B4-BE49-F238E27FC236}">
              <a16:creationId xmlns:a16="http://schemas.microsoft.com/office/drawing/2014/main" id="{5992346C-E39E-4F3D-9380-057D59154F8B}"/>
            </a:ext>
          </a:extLst>
        </xdr:cNvPr>
        <xdr:cNvSpPr txBox="1"/>
      </xdr:nvSpPr>
      <xdr:spPr>
        <a:xfrm>
          <a:off x="9443097" y="4870601"/>
          <a:ext cx="1473654" cy="3170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2BFE84E-720D-4B4A-BADA-E4B12D85E522}" type="TxLink">
            <a:rPr lang="en-US" sz="1000" b="0" i="0" u="none" strike="noStrike">
              <a:solidFill>
                <a:srgbClr val="000000"/>
              </a:solidFill>
              <a:latin typeface="Montserrat SemiBold" panose="00000700000000000000" pitchFamily="2" charset="0"/>
              <a:cs typeface="Calibri"/>
            </a:rPr>
            <a:pPr/>
            <a:t>Emmanuel Collin</a:t>
          </a:fld>
          <a:endParaRPr lang="fr-FR" sz="600">
            <a:latin typeface="Montserrat SemiBold" panose="00000700000000000000" pitchFamily="2" charset="0"/>
          </a:endParaRPr>
        </a:p>
      </xdr:txBody>
    </xdr:sp>
    <xdr:clientData/>
  </xdr:twoCellAnchor>
  <xdr:twoCellAnchor>
    <xdr:from>
      <xdr:col>15</xdr:col>
      <xdr:colOff>462383</xdr:colOff>
      <xdr:row>28</xdr:row>
      <xdr:rowOff>106287</xdr:rowOff>
    </xdr:from>
    <xdr:to>
      <xdr:col>18</xdr:col>
      <xdr:colOff>139894</xdr:colOff>
      <xdr:row>30</xdr:row>
      <xdr:rowOff>53219</xdr:rowOff>
    </xdr:to>
    <xdr:sp macro="" textlink="$AC$24">
      <xdr:nvSpPr>
        <xdr:cNvPr id="79" name="ZoneTexte 78">
          <a:extLst>
            <a:ext uri="{FF2B5EF4-FFF2-40B4-BE49-F238E27FC236}">
              <a16:creationId xmlns:a16="http://schemas.microsoft.com/office/drawing/2014/main" id="{C472A8A8-CFBB-4533-9318-64127F1A8518}"/>
            </a:ext>
          </a:extLst>
        </xdr:cNvPr>
        <xdr:cNvSpPr txBox="1"/>
      </xdr:nvSpPr>
      <xdr:spPr>
        <a:xfrm>
          <a:off x="9443097" y="5244344"/>
          <a:ext cx="1473654" cy="317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157F901-057A-4AF1-B35E-ACD1896B3148}" type="TxLink">
            <a:rPr lang="en-US" sz="1000" b="0" i="0" u="none" strike="noStrike">
              <a:solidFill>
                <a:srgbClr val="000000"/>
              </a:solidFill>
              <a:latin typeface="Montserrat SemiBold" panose="00000700000000000000" pitchFamily="2" charset="0"/>
              <a:cs typeface="Calibri"/>
            </a:rPr>
            <a:pPr/>
            <a:t>Olivier Jean-Louis</a:t>
          </a:fld>
          <a:endParaRPr lang="en-US" sz="600">
            <a:latin typeface="Montserrat SemiBold" panose="00000700000000000000" pitchFamily="2" charset="0"/>
          </a:endParaRPr>
        </a:p>
      </xdr:txBody>
    </xdr:sp>
    <xdr:clientData/>
  </xdr:twoCellAnchor>
  <xdr:twoCellAnchor>
    <xdr:from>
      <xdr:col>15</xdr:col>
      <xdr:colOff>462383</xdr:colOff>
      <xdr:row>30</xdr:row>
      <xdr:rowOff>109916</xdr:rowOff>
    </xdr:from>
    <xdr:to>
      <xdr:col>18</xdr:col>
      <xdr:colOff>139894</xdr:colOff>
      <xdr:row>32</xdr:row>
      <xdr:rowOff>56848</xdr:rowOff>
    </xdr:to>
    <xdr:sp macro="" textlink="$AC$25">
      <xdr:nvSpPr>
        <xdr:cNvPr id="80" name="ZoneTexte 79">
          <a:extLst>
            <a:ext uri="{FF2B5EF4-FFF2-40B4-BE49-F238E27FC236}">
              <a16:creationId xmlns:a16="http://schemas.microsoft.com/office/drawing/2014/main" id="{82D7F281-C013-45AF-95F4-321FB262FEED}"/>
            </a:ext>
          </a:extLst>
        </xdr:cNvPr>
        <xdr:cNvSpPr txBox="1"/>
      </xdr:nvSpPr>
      <xdr:spPr>
        <a:xfrm>
          <a:off x="9479383" y="5647116"/>
          <a:ext cx="1480911" cy="319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6228299-4D3A-4D16-96EB-AEA6C6A1D0DF}" type="TxLink">
            <a:rPr lang="en-US" sz="1000" b="0" i="0" u="none" strike="noStrike">
              <a:solidFill>
                <a:srgbClr val="000000"/>
              </a:solidFill>
              <a:latin typeface="Montserrat SemiBold" panose="00000700000000000000" pitchFamily="2" charset="0"/>
              <a:cs typeface="Calibri"/>
            </a:rPr>
            <a:pPr/>
            <a:t>Olivier Jean-Louis</a:t>
          </a:fld>
          <a:endParaRPr lang="fr-FR" sz="600">
            <a:latin typeface="Montserrat SemiBold" panose="00000700000000000000" pitchFamily="2" charset="0"/>
          </a:endParaRPr>
        </a:p>
      </xdr:txBody>
    </xdr:sp>
    <xdr:clientData/>
  </xdr:twoCellAnchor>
  <xdr:twoCellAnchor>
    <xdr:from>
      <xdr:col>18</xdr:col>
      <xdr:colOff>167216</xdr:colOff>
      <xdr:row>24</xdr:row>
      <xdr:rowOff>120801</xdr:rowOff>
    </xdr:from>
    <xdr:to>
      <xdr:col>19</xdr:col>
      <xdr:colOff>476098</xdr:colOff>
      <xdr:row>25</xdr:row>
      <xdr:rowOff>176589</xdr:rowOff>
    </xdr:to>
    <xdr:sp macro="" textlink="$AD$22">
      <xdr:nvSpPr>
        <xdr:cNvPr id="85" name="ZoneTexte 84">
          <a:extLst>
            <a:ext uri="{FF2B5EF4-FFF2-40B4-BE49-F238E27FC236}">
              <a16:creationId xmlns:a16="http://schemas.microsoft.com/office/drawing/2014/main" id="{B43A0963-A1AD-4704-84D9-A59D8B6DC004}"/>
            </a:ext>
          </a:extLst>
        </xdr:cNvPr>
        <xdr:cNvSpPr txBox="1"/>
      </xdr:nvSpPr>
      <xdr:spPr>
        <a:xfrm>
          <a:off x="10944073" y="4518630"/>
          <a:ext cx="907596" cy="2408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7728831-BBD0-4BB3-B216-8AF76740DAD3}" type="TxLink">
            <a:rPr lang="en-US" sz="1000" b="0" i="0" u="none" strike="noStrike">
              <a:solidFill>
                <a:srgbClr val="000000"/>
              </a:solidFill>
              <a:latin typeface="Montserrat SemiBold" panose="00000700000000000000" pitchFamily="2" charset="0"/>
              <a:cs typeface="Calibri"/>
            </a:rPr>
            <a:pPr/>
            <a:t>1856,4</a:t>
          </a:fld>
          <a:endParaRPr lang="fr-FR" sz="600">
            <a:latin typeface="Montserrat SemiBold" panose="00000700000000000000" pitchFamily="2" charset="0"/>
          </a:endParaRPr>
        </a:p>
      </xdr:txBody>
    </xdr:sp>
    <xdr:clientData/>
  </xdr:twoCellAnchor>
  <xdr:twoCellAnchor>
    <xdr:from>
      <xdr:col>18</xdr:col>
      <xdr:colOff>167216</xdr:colOff>
      <xdr:row>26</xdr:row>
      <xdr:rowOff>113543</xdr:rowOff>
    </xdr:from>
    <xdr:to>
      <xdr:col>19</xdr:col>
      <xdr:colOff>476098</xdr:colOff>
      <xdr:row>27</xdr:row>
      <xdr:rowOff>169331</xdr:rowOff>
    </xdr:to>
    <xdr:sp macro="" textlink="$AD$23">
      <xdr:nvSpPr>
        <xdr:cNvPr id="86" name="ZoneTexte 85">
          <a:extLst>
            <a:ext uri="{FF2B5EF4-FFF2-40B4-BE49-F238E27FC236}">
              <a16:creationId xmlns:a16="http://schemas.microsoft.com/office/drawing/2014/main" id="{6EF1FEED-F1DD-43D3-B034-C8146FCC8C39}"/>
            </a:ext>
          </a:extLst>
        </xdr:cNvPr>
        <xdr:cNvSpPr txBox="1"/>
      </xdr:nvSpPr>
      <xdr:spPr>
        <a:xfrm>
          <a:off x="10944073" y="4881486"/>
          <a:ext cx="907596" cy="2408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05CA657-F98A-4C92-A595-D1FE2E21B28E}" type="TxLink">
            <a:rPr lang="en-US" sz="1000" b="0" i="0" u="none" strike="noStrike">
              <a:solidFill>
                <a:srgbClr val="000000"/>
              </a:solidFill>
              <a:latin typeface="Montserrat SemiBold" panose="00000700000000000000" pitchFamily="2" charset="0"/>
              <a:cs typeface="Calibri"/>
            </a:rPr>
            <a:pPr/>
            <a:t>536,4</a:t>
          </a:fld>
          <a:endParaRPr lang="fr-FR" sz="600">
            <a:latin typeface="Montserrat SemiBold" panose="00000700000000000000" pitchFamily="2" charset="0"/>
          </a:endParaRPr>
        </a:p>
      </xdr:txBody>
    </xdr:sp>
    <xdr:clientData/>
  </xdr:twoCellAnchor>
  <xdr:twoCellAnchor>
    <xdr:from>
      <xdr:col>18</xdr:col>
      <xdr:colOff>167216</xdr:colOff>
      <xdr:row>28</xdr:row>
      <xdr:rowOff>106285</xdr:rowOff>
    </xdr:from>
    <xdr:to>
      <xdr:col>19</xdr:col>
      <xdr:colOff>476098</xdr:colOff>
      <xdr:row>29</xdr:row>
      <xdr:rowOff>162075</xdr:rowOff>
    </xdr:to>
    <xdr:sp macro="" textlink="$AD$24">
      <xdr:nvSpPr>
        <xdr:cNvPr id="87" name="ZoneTexte 86">
          <a:extLst>
            <a:ext uri="{FF2B5EF4-FFF2-40B4-BE49-F238E27FC236}">
              <a16:creationId xmlns:a16="http://schemas.microsoft.com/office/drawing/2014/main" id="{FDA2D719-ADB8-4070-B1E2-29EE6E29953E}"/>
            </a:ext>
          </a:extLst>
        </xdr:cNvPr>
        <xdr:cNvSpPr txBox="1"/>
      </xdr:nvSpPr>
      <xdr:spPr>
        <a:xfrm>
          <a:off x="10944073" y="5244342"/>
          <a:ext cx="907596" cy="2408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F5FCF12-24F8-4CF1-A212-0D709CD276D2}" type="TxLink">
            <a:rPr lang="en-US" sz="1000" b="0" i="0" u="none" strike="noStrike">
              <a:solidFill>
                <a:srgbClr val="000000"/>
              </a:solidFill>
              <a:latin typeface="Montserrat SemiBold" panose="00000700000000000000" pitchFamily="2" charset="0"/>
              <a:cs typeface="Calibri"/>
            </a:rPr>
            <a:pPr/>
            <a:t>2582,4</a:t>
          </a:fld>
          <a:endParaRPr lang="en-US" sz="600">
            <a:latin typeface="Montserrat SemiBold" panose="00000700000000000000" pitchFamily="2" charset="0"/>
          </a:endParaRPr>
        </a:p>
      </xdr:txBody>
    </xdr:sp>
    <xdr:clientData/>
  </xdr:twoCellAnchor>
  <xdr:twoCellAnchor>
    <xdr:from>
      <xdr:col>18</xdr:col>
      <xdr:colOff>167216</xdr:colOff>
      <xdr:row>30</xdr:row>
      <xdr:rowOff>99030</xdr:rowOff>
    </xdr:from>
    <xdr:to>
      <xdr:col>19</xdr:col>
      <xdr:colOff>476098</xdr:colOff>
      <xdr:row>31</xdr:row>
      <xdr:rowOff>154819</xdr:rowOff>
    </xdr:to>
    <xdr:sp macro="" textlink="$AD$25">
      <xdr:nvSpPr>
        <xdr:cNvPr id="88" name="ZoneTexte 87">
          <a:extLst>
            <a:ext uri="{FF2B5EF4-FFF2-40B4-BE49-F238E27FC236}">
              <a16:creationId xmlns:a16="http://schemas.microsoft.com/office/drawing/2014/main" id="{F2A8A1FC-33AD-44A1-861D-8A060422CB70}"/>
            </a:ext>
          </a:extLst>
        </xdr:cNvPr>
        <xdr:cNvSpPr txBox="1"/>
      </xdr:nvSpPr>
      <xdr:spPr>
        <a:xfrm>
          <a:off x="10987616" y="5636230"/>
          <a:ext cx="910015" cy="2420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1C47FE3-209B-4C0D-9D6F-F473902F9849}" type="TxLink">
            <a:rPr lang="en-US" sz="1000" b="0" i="0" u="none" strike="noStrike">
              <a:solidFill>
                <a:srgbClr val="000000"/>
              </a:solidFill>
              <a:latin typeface="Montserrat SemiBold" panose="00000700000000000000" pitchFamily="2" charset="0"/>
              <a:cs typeface="Calibri"/>
            </a:rPr>
            <a:pPr/>
            <a:t>1291,2</a:t>
          </a:fld>
          <a:endParaRPr lang="fr-FR" sz="600">
            <a:latin typeface="Montserrat SemiBold" panose="00000700000000000000" pitchFamily="2" charset="0"/>
          </a:endParaRPr>
        </a:p>
      </xdr:txBody>
    </xdr:sp>
    <xdr:clientData/>
  </xdr:twoCellAnchor>
  <xdr:twoCellAnchor>
    <xdr:from>
      <xdr:col>19</xdr:col>
      <xdr:colOff>574524</xdr:colOff>
      <xdr:row>24</xdr:row>
      <xdr:rowOff>107647</xdr:rowOff>
    </xdr:from>
    <xdr:to>
      <xdr:col>21</xdr:col>
      <xdr:colOff>133095</xdr:colOff>
      <xdr:row>25</xdr:row>
      <xdr:rowOff>120589</xdr:rowOff>
    </xdr:to>
    <xdr:sp macro="" textlink="$AE$22">
      <xdr:nvSpPr>
        <xdr:cNvPr id="45" name="Rectangle : coins arrondis 44">
          <a:extLst>
            <a:ext uri="{FF2B5EF4-FFF2-40B4-BE49-F238E27FC236}">
              <a16:creationId xmlns:a16="http://schemas.microsoft.com/office/drawing/2014/main" id="{60B9B8F0-577F-4E55-AF0C-91D04EB3656B}"/>
            </a:ext>
          </a:extLst>
        </xdr:cNvPr>
        <xdr:cNvSpPr/>
      </xdr:nvSpPr>
      <xdr:spPr>
        <a:xfrm>
          <a:off x="11950095" y="4505476"/>
          <a:ext cx="756000" cy="1979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A57DB4F-56D3-40C3-8501-0ED4D149C9B1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Impayée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574524</xdr:colOff>
      <xdr:row>26</xdr:row>
      <xdr:rowOff>104018</xdr:rowOff>
    </xdr:from>
    <xdr:to>
      <xdr:col>21</xdr:col>
      <xdr:colOff>133095</xdr:colOff>
      <xdr:row>27</xdr:row>
      <xdr:rowOff>116960</xdr:rowOff>
    </xdr:to>
    <xdr:sp macro="" textlink="$AE$23">
      <xdr:nvSpPr>
        <xdr:cNvPr id="94" name="Rectangle : coins arrondis 93">
          <a:extLst>
            <a:ext uri="{FF2B5EF4-FFF2-40B4-BE49-F238E27FC236}">
              <a16:creationId xmlns:a16="http://schemas.microsoft.com/office/drawing/2014/main" id="{E2D84851-E7DB-4F40-9734-DF535A2249A1}"/>
            </a:ext>
          </a:extLst>
        </xdr:cNvPr>
        <xdr:cNvSpPr/>
      </xdr:nvSpPr>
      <xdr:spPr>
        <a:xfrm>
          <a:off x="11950095" y="4871961"/>
          <a:ext cx="756000" cy="1979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EF189FC-0481-48D4-86E6-9033AB2A2061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Impayée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574524</xdr:colOff>
      <xdr:row>30</xdr:row>
      <xdr:rowOff>85876</xdr:rowOff>
    </xdr:from>
    <xdr:to>
      <xdr:col>21</xdr:col>
      <xdr:colOff>133095</xdr:colOff>
      <xdr:row>31</xdr:row>
      <xdr:rowOff>98819</xdr:rowOff>
    </xdr:to>
    <xdr:sp macro="" textlink="$AE$25">
      <xdr:nvSpPr>
        <xdr:cNvPr id="96" name="Rectangle : coins arrondis 95">
          <a:extLst>
            <a:ext uri="{FF2B5EF4-FFF2-40B4-BE49-F238E27FC236}">
              <a16:creationId xmlns:a16="http://schemas.microsoft.com/office/drawing/2014/main" id="{5EDBC8C9-9A59-458C-B8D0-1CF9FD883F8D}"/>
            </a:ext>
          </a:extLst>
        </xdr:cNvPr>
        <xdr:cNvSpPr/>
      </xdr:nvSpPr>
      <xdr:spPr>
        <a:xfrm>
          <a:off x="11950095" y="5594047"/>
          <a:ext cx="756000" cy="198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ACC1F78-A906-4C51-9F39-A08B51BF077C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Payée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574524</xdr:colOff>
      <xdr:row>28</xdr:row>
      <xdr:rowOff>100389</xdr:rowOff>
    </xdr:from>
    <xdr:to>
      <xdr:col>21</xdr:col>
      <xdr:colOff>133095</xdr:colOff>
      <xdr:row>29</xdr:row>
      <xdr:rowOff>113333</xdr:rowOff>
    </xdr:to>
    <xdr:sp macro="" textlink="$AE$24">
      <xdr:nvSpPr>
        <xdr:cNvPr id="95" name="Rectangle : coins arrondis 94">
          <a:extLst>
            <a:ext uri="{FF2B5EF4-FFF2-40B4-BE49-F238E27FC236}">
              <a16:creationId xmlns:a16="http://schemas.microsoft.com/office/drawing/2014/main" id="{CFC570FB-8E63-4C0B-9B3A-7329BB9DD0A2}"/>
            </a:ext>
          </a:extLst>
        </xdr:cNvPr>
        <xdr:cNvSpPr/>
      </xdr:nvSpPr>
      <xdr:spPr>
        <a:xfrm>
          <a:off x="11950095" y="5238446"/>
          <a:ext cx="756000" cy="1980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0A90C57-1037-4D1C-9E3A-068B86FD7C38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Impayée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455083</xdr:colOff>
      <xdr:row>22</xdr:row>
      <xdr:rowOff>129115</xdr:rowOff>
    </xdr:from>
    <xdr:to>
      <xdr:col>13</xdr:col>
      <xdr:colOff>262467</xdr:colOff>
      <xdr:row>23</xdr:row>
      <xdr:rowOff>160866</xdr:rowOff>
    </xdr:to>
    <xdr:sp macro="" textlink="">
      <xdr:nvSpPr>
        <xdr:cNvPr id="93" name="ZoneTexte 92">
          <a:extLst>
            <a:ext uri="{FF2B5EF4-FFF2-40B4-BE49-F238E27FC236}">
              <a16:creationId xmlns:a16="http://schemas.microsoft.com/office/drawing/2014/main" id="{17A26598-CBCE-4E49-B037-6B60AE24D8FF}"/>
            </a:ext>
          </a:extLst>
        </xdr:cNvPr>
        <xdr:cNvSpPr txBox="1"/>
      </xdr:nvSpPr>
      <xdr:spPr>
        <a:xfrm>
          <a:off x="7067550" y="4176182"/>
          <a:ext cx="1009650" cy="2180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b="1">
              <a:latin typeface="+mj-lt"/>
            </a:rPr>
            <a:t>N°</a:t>
          </a:r>
          <a:r>
            <a:rPr lang="fr-FR" sz="1050" b="1" baseline="0">
              <a:latin typeface="+mj-lt"/>
            </a:rPr>
            <a:t> FACTURE</a:t>
          </a:r>
          <a:endParaRPr lang="fr-FR" sz="1050" b="1">
            <a:latin typeface="+mj-lt"/>
          </a:endParaRPr>
        </a:p>
      </xdr:txBody>
    </xdr:sp>
    <xdr:clientData/>
  </xdr:twoCellAnchor>
  <xdr:twoCellAnchor>
    <xdr:from>
      <xdr:col>13</xdr:col>
      <xdr:colOff>455083</xdr:colOff>
      <xdr:row>22</xdr:row>
      <xdr:rowOff>129115</xdr:rowOff>
    </xdr:from>
    <xdr:to>
      <xdr:col>15</xdr:col>
      <xdr:colOff>262466</xdr:colOff>
      <xdr:row>23</xdr:row>
      <xdr:rowOff>160866</xdr:rowOff>
    </xdr:to>
    <xdr:sp macro="" textlink="">
      <xdr:nvSpPr>
        <xdr:cNvPr id="98" name="ZoneTexte 97">
          <a:extLst>
            <a:ext uri="{FF2B5EF4-FFF2-40B4-BE49-F238E27FC236}">
              <a16:creationId xmlns:a16="http://schemas.microsoft.com/office/drawing/2014/main" id="{B4C3C8E3-32AF-40AA-967C-E2AE7CCF2759}"/>
            </a:ext>
          </a:extLst>
        </xdr:cNvPr>
        <xdr:cNvSpPr txBox="1"/>
      </xdr:nvSpPr>
      <xdr:spPr>
        <a:xfrm>
          <a:off x="8269816" y="4176182"/>
          <a:ext cx="1009650" cy="2180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b="1">
              <a:latin typeface="+mj-lt"/>
            </a:rPr>
            <a:t>DATE</a:t>
          </a:r>
        </a:p>
      </xdr:txBody>
    </xdr:sp>
    <xdr:clientData/>
  </xdr:twoCellAnchor>
  <xdr:twoCellAnchor>
    <xdr:from>
      <xdr:col>15</xdr:col>
      <xdr:colOff>462383</xdr:colOff>
      <xdr:row>22</xdr:row>
      <xdr:rowOff>129115</xdr:rowOff>
    </xdr:from>
    <xdr:to>
      <xdr:col>17</xdr:col>
      <xdr:colOff>269766</xdr:colOff>
      <xdr:row>23</xdr:row>
      <xdr:rowOff>160866</xdr:rowOff>
    </xdr:to>
    <xdr:sp macro="" textlink="">
      <xdr:nvSpPr>
        <xdr:cNvPr id="99" name="ZoneTexte 98">
          <a:extLst>
            <a:ext uri="{FF2B5EF4-FFF2-40B4-BE49-F238E27FC236}">
              <a16:creationId xmlns:a16="http://schemas.microsoft.com/office/drawing/2014/main" id="{DA910CA1-84B5-4D5B-BB5E-3C864C74918F}"/>
            </a:ext>
          </a:extLst>
        </xdr:cNvPr>
        <xdr:cNvSpPr txBox="1"/>
      </xdr:nvSpPr>
      <xdr:spPr>
        <a:xfrm>
          <a:off x="9479383" y="4176182"/>
          <a:ext cx="1009650" cy="2180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b="1">
              <a:latin typeface="+mj-lt"/>
            </a:rPr>
            <a:t>CLIENT</a:t>
          </a:r>
        </a:p>
      </xdr:txBody>
    </xdr:sp>
    <xdr:clientData/>
  </xdr:twoCellAnchor>
  <xdr:twoCellAnchor>
    <xdr:from>
      <xdr:col>18</xdr:col>
      <xdr:colOff>167216</xdr:colOff>
      <xdr:row>22</xdr:row>
      <xdr:rowOff>129115</xdr:rowOff>
    </xdr:from>
    <xdr:to>
      <xdr:col>19</xdr:col>
      <xdr:colOff>575733</xdr:colOff>
      <xdr:row>23</xdr:row>
      <xdr:rowOff>160866</xdr:rowOff>
    </xdr:to>
    <xdr:sp macro="" textlink="">
      <xdr:nvSpPr>
        <xdr:cNvPr id="100" name="ZoneTexte 99">
          <a:extLst>
            <a:ext uri="{FF2B5EF4-FFF2-40B4-BE49-F238E27FC236}">
              <a16:creationId xmlns:a16="http://schemas.microsoft.com/office/drawing/2014/main" id="{580E5BDB-1B36-48EC-96E2-F583C51ABFA1}"/>
            </a:ext>
          </a:extLst>
        </xdr:cNvPr>
        <xdr:cNvSpPr txBox="1"/>
      </xdr:nvSpPr>
      <xdr:spPr>
        <a:xfrm>
          <a:off x="10987616" y="4176182"/>
          <a:ext cx="1009650" cy="2180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b="1">
              <a:latin typeface="+mj-lt"/>
            </a:rPr>
            <a:t>MONTANT TTC</a:t>
          </a:r>
        </a:p>
      </xdr:txBody>
    </xdr:sp>
    <xdr:clientData/>
  </xdr:twoCellAnchor>
  <xdr:twoCellAnchor>
    <xdr:from>
      <xdr:col>19</xdr:col>
      <xdr:colOff>574524</xdr:colOff>
      <xdr:row>22</xdr:row>
      <xdr:rowOff>129115</xdr:rowOff>
    </xdr:from>
    <xdr:to>
      <xdr:col>21</xdr:col>
      <xdr:colOff>381907</xdr:colOff>
      <xdr:row>23</xdr:row>
      <xdr:rowOff>160866</xdr:rowOff>
    </xdr:to>
    <xdr:sp macro="" textlink="">
      <xdr:nvSpPr>
        <xdr:cNvPr id="101" name="ZoneTexte 100">
          <a:extLst>
            <a:ext uri="{FF2B5EF4-FFF2-40B4-BE49-F238E27FC236}">
              <a16:creationId xmlns:a16="http://schemas.microsoft.com/office/drawing/2014/main" id="{5D7769AC-2471-4514-B935-3F67E180D04C}"/>
            </a:ext>
          </a:extLst>
        </xdr:cNvPr>
        <xdr:cNvSpPr txBox="1"/>
      </xdr:nvSpPr>
      <xdr:spPr>
        <a:xfrm>
          <a:off x="11950095" y="4156829"/>
          <a:ext cx="1004812" cy="2168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b="1">
              <a:latin typeface="+mj-lt"/>
            </a:rPr>
            <a:t>ETAT</a:t>
          </a:r>
        </a:p>
      </xdr:txBody>
    </xdr:sp>
    <xdr:clientData/>
  </xdr:twoCellAnchor>
  <xdr:twoCellAnchor>
    <xdr:from>
      <xdr:col>11</xdr:col>
      <xdr:colOff>544286</xdr:colOff>
      <xdr:row>23</xdr:row>
      <xdr:rowOff>181945</xdr:rowOff>
    </xdr:from>
    <xdr:to>
      <xdr:col>21</xdr:col>
      <xdr:colOff>137143</xdr:colOff>
      <xdr:row>23</xdr:row>
      <xdr:rowOff>181945</xdr:rowOff>
    </xdr:to>
    <xdr:cxnSp macro="">
      <xdr:nvCxnSpPr>
        <xdr:cNvPr id="102" name="Connecteur droit 101">
          <a:extLst>
            <a:ext uri="{FF2B5EF4-FFF2-40B4-BE49-F238E27FC236}">
              <a16:creationId xmlns:a16="http://schemas.microsoft.com/office/drawing/2014/main" id="{395EABDC-523B-4F1A-A7E7-120381167141}"/>
            </a:ext>
          </a:extLst>
        </xdr:cNvPr>
        <xdr:cNvCxnSpPr/>
      </xdr:nvCxnSpPr>
      <xdr:spPr>
        <a:xfrm>
          <a:off x="7130143" y="4394716"/>
          <a:ext cx="5580000" cy="0"/>
        </a:xfrm>
        <a:prstGeom prst="line">
          <a:avLst/>
        </a:prstGeom>
        <a:ln w="9525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555171</xdr:colOff>
      <xdr:row>26</xdr:row>
      <xdr:rowOff>7773</xdr:rowOff>
    </xdr:from>
    <xdr:to>
      <xdr:col>21</xdr:col>
      <xdr:colOff>148028</xdr:colOff>
      <xdr:row>26</xdr:row>
      <xdr:rowOff>7773</xdr:rowOff>
    </xdr:to>
    <xdr:cxnSp macro="">
      <xdr:nvCxnSpPr>
        <xdr:cNvPr id="103" name="Connecteur droit 102">
          <a:extLst>
            <a:ext uri="{FF2B5EF4-FFF2-40B4-BE49-F238E27FC236}">
              <a16:creationId xmlns:a16="http://schemas.microsoft.com/office/drawing/2014/main" id="{E7252385-0029-4597-96BE-4B3A928950AA}"/>
            </a:ext>
          </a:extLst>
        </xdr:cNvPr>
        <xdr:cNvCxnSpPr/>
      </xdr:nvCxnSpPr>
      <xdr:spPr>
        <a:xfrm>
          <a:off x="7141028" y="4775716"/>
          <a:ext cx="5580000" cy="0"/>
        </a:xfrm>
        <a:prstGeom prst="line">
          <a:avLst/>
        </a:prstGeom>
        <a:ln w="9525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555171</xdr:colOff>
      <xdr:row>28</xdr:row>
      <xdr:rowOff>18659</xdr:rowOff>
    </xdr:from>
    <xdr:to>
      <xdr:col>21</xdr:col>
      <xdr:colOff>148028</xdr:colOff>
      <xdr:row>28</xdr:row>
      <xdr:rowOff>18659</xdr:rowOff>
    </xdr:to>
    <xdr:cxnSp macro="">
      <xdr:nvCxnSpPr>
        <xdr:cNvPr id="104" name="Connecteur droit 103">
          <a:extLst>
            <a:ext uri="{FF2B5EF4-FFF2-40B4-BE49-F238E27FC236}">
              <a16:creationId xmlns:a16="http://schemas.microsoft.com/office/drawing/2014/main" id="{FEB745DD-4002-473A-B227-6D1D96A10FE1}"/>
            </a:ext>
          </a:extLst>
        </xdr:cNvPr>
        <xdr:cNvCxnSpPr/>
      </xdr:nvCxnSpPr>
      <xdr:spPr>
        <a:xfrm>
          <a:off x="7141028" y="5156716"/>
          <a:ext cx="5580000" cy="0"/>
        </a:xfrm>
        <a:prstGeom prst="line">
          <a:avLst/>
        </a:prstGeom>
        <a:ln w="9525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544285</xdr:colOff>
      <xdr:row>30</xdr:row>
      <xdr:rowOff>29544</xdr:rowOff>
    </xdr:from>
    <xdr:to>
      <xdr:col>21</xdr:col>
      <xdr:colOff>137142</xdr:colOff>
      <xdr:row>30</xdr:row>
      <xdr:rowOff>29544</xdr:rowOff>
    </xdr:to>
    <xdr:cxnSp macro="">
      <xdr:nvCxnSpPr>
        <xdr:cNvPr id="105" name="Connecteur droit 104">
          <a:extLst>
            <a:ext uri="{FF2B5EF4-FFF2-40B4-BE49-F238E27FC236}">
              <a16:creationId xmlns:a16="http://schemas.microsoft.com/office/drawing/2014/main" id="{32EE7A21-DF76-4054-A887-B2717413D919}"/>
            </a:ext>
          </a:extLst>
        </xdr:cNvPr>
        <xdr:cNvCxnSpPr/>
      </xdr:nvCxnSpPr>
      <xdr:spPr>
        <a:xfrm>
          <a:off x="7130142" y="5537715"/>
          <a:ext cx="5580000" cy="0"/>
        </a:xfrm>
        <a:prstGeom prst="line">
          <a:avLst/>
        </a:prstGeom>
        <a:ln w="9525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429985</xdr:colOff>
      <xdr:row>20</xdr:row>
      <xdr:rowOff>114300</xdr:rowOff>
    </xdr:from>
    <xdr:to>
      <xdr:col>4</xdr:col>
      <xdr:colOff>181842</xdr:colOff>
      <xdr:row>31</xdr:row>
      <xdr:rowOff>105591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7" name="DATE">
              <a:extLst>
                <a:ext uri="{FF2B5EF4-FFF2-40B4-BE49-F238E27FC236}">
                  <a16:creationId xmlns:a16="http://schemas.microsoft.com/office/drawing/2014/main" id="{9185D72C-FB8B-4405-AE4B-F7F4D182935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8699" y="3771900"/>
              <a:ext cx="1548000" cy="20269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429985</xdr:colOff>
      <xdr:row>14</xdr:row>
      <xdr:rowOff>32658</xdr:rowOff>
    </xdr:from>
    <xdr:to>
      <xdr:col>4</xdr:col>
      <xdr:colOff>181842</xdr:colOff>
      <xdr:row>20</xdr:row>
      <xdr:rowOff>118655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6" name="Années">
              <a:extLst>
                <a:ext uri="{FF2B5EF4-FFF2-40B4-BE49-F238E27FC236}">
                  <a16:creationId xmlns:a16="http://schemas.microsoft.com/office/drawing/2014/main" id="{E3492D15-E89A-45ED-BE3C-E6EBB37F81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é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8699" y="2579915"/>
              <a:ext cx="1548000" cy="11963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394880</xdr:colOff>
      <xdr:row>5</xdr:row>
      <xdr:rowOff>50076</xdr:rowOff>
    </xdr:from>
    <xdr:to>
      <xdr:col>4</xdr:col>
      <xdr:colOff>326571</xdr:colOff>
      <xdr:row>6</xdr:row>
      <xdr:rowOff>152401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E7F39901-BF95-414F-871D-766CC26E27FD}"/>
            </a:ext>
          </a:extLst>
        </xdr:cNvPr>
        <xdr:cNvGrpSpPr/>
      </xdr:nvGrpSpPr>
      <xdr:grpSpPr>
        <a:xfrm>
          <a:off x="991780" y="900976"/>
          <a:ext cx="1722391" cy="280125"/>
          <a:chOff x="993594" y="931819"/>
          <a:chExt cx="1727834" cy="287382"/>
        </a:xfrm>
      </xdr:grpSpPr>
      <xdr:sp macro="[0]!versDashboard" textlink="Parameters!E9">
        <xdr:nvSpPr>
          <xdr:cNvPr id="108" name="Rectangle : coins arrondis 107">
            <a:extLst>
              <a:ext uri="{FF2B5EF4-FFF2-40B4-BE49-F238E27FC236}">
                <a16:creationId xmlns:a16="http://schemas.microsoft.com/office/drawing/2014/main" id="{0A6B514C-59D1-47D6-B8ED-785B13379E33}"/>
              </a:ext>
            </a:extLst>
          </xdr:cNvPr>
          <xdr:cNvSpPr/>
        </xdr:nvSpPr>
        <xdr:spPr>
          <a:xfrm>
            <a:off x="1199113" y="939558"/>
            <a:ext cx="1522315" cy="279642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0497271E-CEDF-44B7-815B-BA7D465A2338}" type="TxLink">
              <a:rPr lang="en-US" sz="1400" b="1" i="0" u="none" strike="noStrike">
                <a:solidFill>
                  <a:srgbClr val="464F5F"/>
                </a:solidFill>
                <a:latin typeface="Montserrat"/>
                <a:ea typeface="Open Sans SemiBold" panose="020B0706030804020204" pitchFamily="34" charset="0"/>
                <a:cs typeface="Open Sans SemiBold" panose="020B0706030804020204" pitchFamily="34" charset="0"/>
              </a:rPr>
              <a:pPr algn="l"/>
              <a:t>MouloloEden</a:t>
            </a:fld>
            <a:endParaRPr lang="fr-FR" sz="1400" b="1">
              <a:solidFill>
                <a:srgbClr val="131524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endParaRPr>
          </a:p>
        </xdr:txBody>
      </xdr:sp>
      <xdr:pic macro="[0]!versDashboard">
        <xdr:nvPicPr>
          <xdr:cNvPr id="109" name="Image 108">
            <a:extLst>
              <a:ext uri="{FF2B5EF4-FFF2-40B4-BE49-F238E27FC236}">
                <a16:creationId xmlns:a16="http://schemas.microsoft.com/office/drawing/2014/main" id="{130462F1-50A9-42E7-A455-AC3BBB17C2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3594" y="931819"/>
            <a:ext cx="328233" cy="287382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468086</xdr:colOff>
      <xdr:row>20</xdr:row>
      <xdr:rowOff>94859</xdr:rowOff>
    </xdr:from>
    <xdr:to>
      <xdr:col>4</xdr:col>
      <xdr:colOff>111943</xdr:colOff>
      <xdr:row>20</xdr:row>
      <xdr:rowOff>94859</xdr:rowOff>
    </xdr:to>
    <xdr:cxnSp macro="">
      <xdr:nvCxnSpPr>
        <xdr:cNvPr id="113" name="Connecteur droit 112">
          <a:extLst>
            <a:ext uri="{FF2B5EF4-FFF2-40B4-BE49-F238E27FC236}">
              <a16:creationId xmlns:a16="http://schemas.microsoft.com/office/drawing/2014/main" id="{17649CC9-2B5A-44F6-804A-B32B714BCF0B}"/>
            </a:ext>
          </a:extLst>
        </xdr:cNvPr>
        <xdr:cNvCxnSpPr/>
      </xdr:nvCxnSpPr>
      <xdr:spPr>
        <a:xfrm>
          <a:off x="1066800" y="3752459"/>
          <a:ext cx="1440000" cy="0"/>
        </a:xfrm>
        <a:prstGeom prst="line">
          <a:avLst/>
        </a:prstGeom>
        <a:ln w="9525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468086</xdr:colOff>
      <xdr:row>13</xdr:row>
      <xdr:rowOff>138402</xdr:rowOff>
    </xdr:from>
    <xdr:to>
      <xdr:col>4</xdr:col>
      <xdr:colOff>111943</xdr:colOff>
      <xdr:row>13</xdr:row>
      <xdr:rowOff>138402</xdr:rowOff>
    </xdr:to>
    <xdr:cxnSp macro="">
      <xdr:nvCxnSpPr>
        <xdr:cNvPr id="114" name="Connecteur droit 113">
          <a:extLst>
            <a:ext uri="{FF2B5EF4-FFF2-40B4-BE49-F238E27FC236}">
              <a16:creationId xmlns:a16="http://schemas.microsoft.com/office/drawing/2014/main" id="{8BAE1F79-4435-41D4-A286-9590921A0112}"/>
            </a:ext>
          </a:extLst>
        </xdr:cNvPr>
        <xdr:cNvCxnSpPr/>
      </xdr:nvCxnSpPr>
      <xdr:spPr>
        <a:xfrm>
          <a:off x="1066800" y="2500602"/>
          <a:ext cx="1440000" cy="0"/>
        </a:xfrm>
        <a:prstGeom prst="line">
          <a:avLst/>
        </a:prstGeom>
        <a:ln w="9525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102507</xdr:colOff>
      <xdr:row>11</xdr:row>
      <xdr:rowOff>46534</xdr:rowOff>
    </xdr:from>
    <xdr:to>
      <xdr:col>4</xdr:col>
      <xdr:colOff>107293</xdr:colOff>
      <xdr:row>12</xdr:row>
      <xdr:rowOff>178251</xdr:rowOff>
    </xdr:to>
    <xdr:grpSp>
      <xdr:nvGrpSpPr>
        <xdr:cNvPr id="90" name="Groupe 89">
          <a:extLst>
            <a:ext uri="{FF2B5EF4-FFF2-40B4-BE49-F238E27FC236}">
              <a16:creationId xmlns:a16="http://schemas.microsoft.com/office/drawing/2014/main" id="{3E8D50D8-62AD-4501-A78F-C860D1C270A0}"/>
            </a:ext>
          </a:extLst>
        </xdr:cNvPr>
        <xdr:cNvGrpSpPr/>
      </xdr:nvGrpSpPr>
      <xdr:grpSpPr>
        <a:xfrm>
          <a:off x="1296307" y="1964234"/>
          <a:ext cx="1198586" cy="309517"/>
          <a:chOff x="1309007" y="2027734"/>
          <a:chExt cx="1211286" cy="315867"/>
        </a:xfrm>
      </xdr:grpSpPr>
      <xdr:sp macro="[0]!versParamètre" textlink="">
        <xdr:nvSpPr>
          <xdr:cNvPr id="110" name="Rectangle : coins arrondis 109">
            <a:extLst>
              <a:ext uri="{FF2B5EF4-FFF2-40B4-BE49-F238E27FC236}">
                <a16:creationId xmlns:a16="http://schemas.microsoft.com/office/drawing/2014/main" id="{F501DFE1-3643-431B-A8B4-610BDD29FF08}"/>
              </a:ext>
            </a:extLst>
          </xdr:cNvPr>
          <xdr:cNvSpPr/>
        </xdr:nvSpPr>
        <xdr:spPr>
          <a:xfrm>
            <a:off x="1434486" y="2027734"/>
            <a:ext cx="1085807" cy="315867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200" b="1">
                <a:solidFill>
                  <a:schemeClr val="bg1">
                    <a:lumMod val="50000"/>
                  </a:schemeClr>
                </a:solidFill>
                <a:latin typeface="Open Sans SemiBold" panose="020B0706030804020204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Paramètres</a:t>
            </a:r>
          </a:p>
        </xdr:txBody>
      </xdr:sp>
      <xdr:pic macro="[0]!versParamètre">
        <xdr:nvPicPr>
          <xdr:cNvPr id="66" name="Image 65">
            <a:extLst>
              <a:ext uri="{FF2B5EF4-FFF2-40B4-BE49-F238E27FC236}">
                <a16:creationId xmlns:a16="http://schemas.microsoft.com/office/drawing/2014/main" id="{E796F27F-F263-455D-84FA-043F8A769A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9007" y="2122715"/>
            <a:ext cx="144000" cy="143093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100107</xdr:colOff>
      <xdr:row>9</xdr:row>
      <xdr:rowOff>100963</xdr:rowOff>
    </xdr:from>
    <xdr:to>
      <xdr:col>4</xdr:col>
      <xdr:colOff>107293</xdr:colOff>
      <xdr:row>11</xdr:row>
      <xdr:rowOff>47622</xdr:rowOff>
    </xdr:to>
    <xdr:grpSp>
      <xdr:nvGrpSpPr>
        <xdr:cNvPr id="89" name="Groupe 88">
          <a:extLst>
            <a:ext uri="{FF2B5EF4-FFF2-40B4-BE49-F238E27FC236}">
              <a16:creationId xmlns:a16="http://schemas.microsoft.com/office/drawing/2014/main" id="{F643AAA3-6F72-48E4-B5F8-08C65CC15907}"/>
            </a:ext>
          </a:extLst>
        </xdr:cNvPr>
        <xdr:cNvGrpSpPr/>
      </xdr:nvGrpSpPr>
      <xdr:grpSpPr>
        <a:xfrm>
          <a:off x="1293907" y="1663063"/>
          <a:ext cx="1200986" cy="302259"/>
          <a:chOff x="1306607" y="1713863"/>
          <a:chExt cx="1213686" cy="314959"/>
        </a:xfrm>
      </xdr:grpSpPr>
      <xdr:sp macro="[0]!versFacture" textlink="">
        <xdr:nvSpPr>
          <xdr:cNvPr id="111" name="Rectangle : coins arrondis 110">
            <a:extLst>
              <a:ext uri="{FF2B5EF4-FFF2-40B4-BE49-F238E27FC236}">
                <a16:creationId xmlns:a16="http://schemas.microsoft.com/office/drawing/2014/main" id="{91E6253F-EBAD-4E56-8DED-79BC8E40F855}"/>
              </a:ext>
            </a:extLst>
          </xdr:cNvPr>
          <xdr:cNvSpPr/>
        </xdr:nvSpPr>
        <xdr:spPr>
          <a:xfrm>
            <a:off x="1434486" y="1713863"/>
            <a:ext cx="1085807" cy="31495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200" b="1">
                <a:solidFill>
                  <a:schemeClr val="bg1">
                    <a:lumMod val="50000"/>
                  </a:schemeClr>
                </a:solidFill>
                <a:latin typeface="Open Sans SemiBold" panose="020B0706030804020204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Facture</a:t>
            </a:r>
          </a:p>
        </xdr:txBody>
      </xdr:sp>
      <xdr:pic macro="[0]!versFacture">
        <xdr:nvPicPr>
          <xdr:cNvPr id="81" name="Image 80">
            <a:extLst>
              <a:ext uri="{FF2B5EF4-FFF2-40B4-BE49-F238E27FC236}">
                <a16:creationId xmlns:a16="http://schemas.microsoft.com/office/drawing/2014/main" id="{2135BC9C-CF29-4A12-B632-9C4B8E6079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6607" y="1801908"/>
            <a:ext cx="148535" cy="14309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108592</xdr:colOff>
      <xdr:row>7</xdr:row>
      <xdr:rowOff>155392</xdr:rowOff>
    </xdr:from>
    <xdr:to>
      <xdr:col>4</xdr:col>
      <xdr:colOff>107293</xdr:colOff>
      <xdr:row>9</xdr:row>
      <xdr:rowOff>102052</xdr:rowOff>
    </xdr:to>
    <xdr:grpSp>
      <xdr:nvGrpSpPr>
        <xdr:cNvPr id="84" name="Groupe 83">
          <a:extLst>
            <a:ext uri="{FF2B5EF4-FFF2-40B4-BE49-F238E27FC236}">
              <a16:creationId xmlns:a16="http://schemas.microsoft.com/office/drawing/2014/main" id="{0CD1DD34-0A31-418B-99BC-724884F4BF0F}"/>
            </a:ext>
          </a:extLst>
        </xdr:cNvPr>
        <xdr:cNvGrpSpPr/>
      </xdr:nvGrpSpPr>
      <xdr:grpSpPr>
        <a:xfrm>
          <a:off x="1302392" y="1361892"/>
          <a:ext cx="1192501" cy="302260"/>
          <a:chOff x="1315092" y="1399992"/>
          <a:chExt cx="1205201" cy="314960"/>
        </a:xfrm>
      </xdr:grpSpPr>
      <xdr:sp macro="[0]!versDashboard" textlink="">
        <xdr:nvSpPr>
          <xdr:cNvPr id="112" name="Rectangle : coins arrondis 111">
            <a:extLst>
              <a:ext uri="{FF2B5EF4-FFF2-40B4-BE49-F238E27FC236}">
                <a16:creationId xmlns:a16="http://schemas.microsoft.com/office/drawing/2014/main" id="{963FB8C3-4A5B-40D1-9D18-3A0A5DE70630}"/>
              </a:ext>
            </a:extLst>
          </xdr:cNvPr>
          <xdr:cNvSpPr/>
        </xdr:nvSpPr>
        <xdr:spPr>
          <a:xfrm>
            <a:off x="1434486" y="1399992"/>
            <a:ext cx="1085807" cy="31496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200" b="1">
                <a:solidFill>
                  <a:sysClr val="windowText" lastClr="000000"/>
                </a:solidFill>
                <a:latin typeface="Open Sans SemiBold" panose="020B0706030804020204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Dashboard</a:t>
            </a:r>
          </a:p>
        </xdr:txBody>
      </xdr:sp>
      <xdr:pic macro="[0]!versDashboard">
        <xdr:nvPicPr>
          <xdr:cNvPr id="83" name="Image 82">
            <a:extLst>
              <a:ext uri="{FF2B5EF4-FFF2-40B4-BE49-F238E27FC236}">
                <a16:creationId xmlns:a16="http://schemas.microsoft.com/office/drawing/2014/main" id="{4B530FC6-177C-4997-8681-F376A0ED9E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5092" y="1493800"/>
            <a:ext cx="144000" cy="143093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430128</xdr:colOff>
      <xdr:row>12</xdr:row>
      <xdr:rowOff>96660</xdr:rowOff>
    </xdr:from>
    <xdr:to>
      <xdr:col>14</xdr:col>
      <xdr:colOff>528</xdr:colOff>
      <xdr:row>13</xdr:row>
      <xdr:rowOff>78540</xdr:rowOff>
    </xdr:to>
    <xdr:pic macro="[0]!devis_imprimer">
      <xdr:nvPicPr>
        <xdr:cNvPr id="34" name="Imag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53048" y="2306460"/>
          <a:ext cx="180000" cy="180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1401</xdr:rowOff>
    </xdr:from>
    <xdr:to>
      <xdr:col>26</xdr:col>
      <xdr:colOff>403860</xdr:colOff>
      <xdr:row>3</xdr:row>
      <xdr:rowOff>1401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/>
      </xdr:nvCxnSpPr>
      <xdr:spPr>
        <a:xfrm>
          <a:off x="0" y="504321"/>
          <a:ext cx="1645158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129540</xdr:colOff>
      <xdr:row>0</xdr:row>
      <xdr:rowOff>84520</xdr:rowOff>
    </xdr:from>
    <xdr:to>
      <xdr:col>6</xdr:col>
      <xdr:colOff>310380</xdr:colOff>
      <xdr:row>2</xdr:row>
      <xdr:rowOff>31180</xdr:rowOff>
    </xdr:to>
    <xdr:sp macro="[0]!versDashboard" textlink="">
      <xdr:nvSpPr>
        <xdr:cNvPr id="41" name="Rectangle : coins arrondis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2903220" y="84520"/>
          <a:ext cx="10800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Dashboard</a:t>
          </a:r>
        </a:p>
      </xdr:txBody>
    </xdr:sp>
    <xdr:clientData/>
  </xdr:twoCellAnchor>
  <xdr:twoCellAnchor>
    <xdr:from>
      <xdr:col>6</xdr:col>
      <xdr:colOff>336084</xdr:colOff>
      <xdr:row>0</xdr:row>
      <xdr:rowOff>84520</xdr:rowOff>
    </xdr:from>
    <xdr:to>
      <xdr:col>7</xdr:col>
      <xdr:colOff>730284</xdr:colOff>
      <xdr:row>2</xdr:row>
      <xdr:rowOff>31180</xdr:rowOff>
    </xdr:to>
    <xdr:sp macro="" textlink="">
      <xdr:nvSpPr>
        <xdr:cNvPr id="42" name="Rectangle : coins arrondis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4008924" y="84520"/>
          <a:ext cx="1080000" cy="312420"/>
        </a:xfrm>
        <a:prstGeom prst="roundRect">
          <a:avLst/>
        </a:prstGeom>
        <a:solidFill>
          <a:srgbClr val="EDF3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Devis</a:t>
          </a:r>
        </a:p>
      </xdr:txBody>
    </xdr:sp>
    <xdr:clientData/>
  </xdr:twoCellAnchor>
  <xdr:twoCellAnchor>
    <xdr:from>
      <xdr:col>7</xdr:col>
      <xdr:colOff>756888</xdr:colOff>
      <xdr:row>0</xdr:row>
      <xdr:rowOff>84520</xdr:rowOff>
    </xdr:from>
    <xdr:to>
      <xdr:col>9</xdr:col>
      <xdr:colOff>84288</xdr:colOff>
      <xdr:row>2</xdr:row>
      <xdr:rowOff>31180</xdr:rowOff>
    </xdr:to>
    <xdr:sp macro="[0]!versCommande" textlink="">
      <xdr:nvSpPr>
        <xdr:cNvPr id="43" name="Rectangle : coins arrondis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5115528" y="84520"/>
          <a:ext cx="10800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Commande</a:t>
          </a:r>
        </a:p>
      </xdr:txBody>
    </xdr:sp>
    <xdr:clientData/>
  </xdr:twoCellAnchor>
  <xdr:twoCellAnchor>
    <xdr:from>
      <xdr:col>9</xdr:col>
      <xdr:colOff>110892</xdr:colOff>
      <xdr:row>0</xdr:row>
      <xdr:rowOff>84520</xdr:rowOff>
    </xdr:from>
    <xdr:to>
      <xdr:col>11</xdr:col>
      <xdr:colOff>146952</xdr:colOff>
      <xdr:row>2</xdr:row>
      <xdr:rowOff>31180</xdr:rowOff>
    </xdr:to>
    <xdr:sp macro="[0]!versLivraison" textlink="">
      <xdr:nvSpPr>
        <xdr:cNvPr id="44" name="Rectangle : coins arrondis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6222132" y="84520"/>
          <a:ext cx="10800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Livraision</a:t>
          </a:r>
        </a:p>
      </xdr:txBody>
    </xdr:sp>
    <xdr:clientData/>
  </xdr:twoCellAnchor>
  <xdr:twoCellAnchor>
    <xdr:from>
      <xdr:col>11</xdr:col>
      <xdr:colOff>173556</xdr:colOff>
      <xdr:row>0</xdr:row>
      <xdr:rowOff>84520</xdr:rowOff>
    </xdr:from>
    <xdr:to>
      <xdr:col>13</xdr:col>
      <xdr:colOff>285816</xdr:colOff>
      <xdr:row>2</xdr:row>
      <xdr:rowOff>31180</xdr:rowOff>
    </xdr:to>
    <xdr:sp macro="[0]!versFacture" textlink="">
      <xdr:nvSpPr>
        <xdr:cNvPr id="45" name="Rectangle : coins arrondis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7328736" y="84520"/>
          <a:ext cx="10800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Facture</a:t>
          </a:r>
        </a:p>
      </xdr:txBody>
    </xdr:sp>
    <xdr:clientData/>
  </xdr:twoCellAnchor>
  <xdr:twoCellAnchor>
    <xdr:from>
      <xdr:col>1</xdr:col>
      <xdr:colOff>481965</xdr:colOff>
      <xdr:row>0</xdr:row>
      <xdr:rowOff>60030</xdr:rowOff>
    </xdr:from>
    <xdr:to>
      <xdr:col>5</xdr:col>
      <xdr:colOff>243840</xdr:colOff>
      <xdr:row>2</xdr:row>
      <xdr:rowOff>36621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882E119C-996F-4504-9F7C-B48AE1D49352}"/>
            </a:ext>
          </a:extLst>
        </xdr:cNvPr>
        <xdr:cNvGrpSpPr/>
      </xdr:nvGrpSpPr>
      <xdr:grpSpPr>
        <a:xfrm>
          <a:off x="1091565" y="60030"/>
          <a:ext cx="1928132" cy="346705"/>
          <a:chOff x="1091565" y="60030"/>
          <a:chExt cx="1928132" cy="346705"/>
        </a:xfrm>
      </xdr:grpSpPr>
      <xdr:pic macro="[0]!versDashboard">
        <xdr:nvPicPr>
          <xdr:cNvPr id="49" name="Image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1565" y="60030"/>
            <a:ext cx="398417" cy="346705"/>
          </a:xfrm>
          <a:prstGeom prst="rect">
            <a:avLst/>
          </a:prstGeom>
        </xdr:spPr>
      </xdr:pic>
      <xdr:sp macro="[0]!versDashboard" textlink="Parameters!E9">
        <xdr:nvSpPr>
          <xdr:cNvPr id="50" name="Rectangle : coins arrondis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/>
        </xdr:nvSpPr>
        <xdr:spPr>
          <a:xfrm>
            <a:off x="1447800" y="84520"/>
            <a:ext cx="1571897" cy="316774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557EE984-606F-4DB9-AD3F-1CEFF0B4DA62}" type="TxLink">
              <a:rPr lang="en-US" sz="1400" b="1" i="0" u="none" strike="noStrike">
                <a:solidFill>
                  <a:srgbClr val="464F5F"/>
                </a:solidFill>
                <a:latin typeface="Montserrat"/>
                <a:ea typeface="Open Sans SemiBold" panose="020B0706030804020204" pitchFamily="34" charset="0"/>
                <a:cs typeface="Open Sans SemiBold" panose="020B0706030804020204" pitchFamily="34" charset="0"/>
              </a:rPr>
              <a:pPr algn="l"/>
              <a:t>MouloloEden</a:t>
            </a:fld>
            <a:endParaRPr lang="fr-FR" sz="1400" b="1">
              <a:solidFill>
                <a:srgbClr val="131524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endParaRPr>
          </a:p>
        </xdr:txBody>
      </xdr:sp>
    </xdr:grpSp>
    <xdr:clientData/>
  </xdr:twoCellAnchor>
  <xdr:twoCellAnchor editAs="oneCell">
    <xdr:from>
      <xdr:col>20</xdr:col>
      <xdr:colOff>350520</xdr:colOff>
      <xdr:row>0</xdr:row>
      <xdr:rowOff>114730</xdr:rowOff>
    </xdr:from>
    <xdr:to>
      <xdr:col>20</xdr:col>
      <xdr:colOff>602520</xdr:colOff>
      <xdr:row>2</xdr:row>
      <xdr:rowOff>970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40640" y="114730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409080</xdr:colOff>
      <xdr:row>0</xdr:row>
      <xdr:rowOff>114730</xdr:rowOff>
    </xdr:from>
    <xdr:to>
      <xdr:col>20</xdr:col>
      <xdr:colOff>51480</xdr:colOff>
      <xdr:row>2</xdr:row>
      <xdr:rowOff>970</xdr:rowOff>
    </xdr:to>
    <xdr:pic macro="[0]!versParamètre"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89600" y="114730"/>
          <a:ext cx="252000" cy="252000"/>
        </a:xfrm>
        <a:prstGeom prst="rect">
          <a:avLst/>
        </a:prstGeom>
      </xdr:spPr>
    </xdr:pic>
    <xdr:clientData/>
  </xdr:twoCellAnchor>
  <xdr:twoCellAnchor>
    <xdr:from>
      <xdr:col>2</xdr:col>
      <xdr:colOff>243840</xdr:colOff>
      <xdr:row>6</xdr:row>
      <xdr:rowOff>76900</xdr:rowOff>
    </xdr:from>
    <xdr:to>
      <xdr:col>5</xdr:col>
      <xdr:colOff>228600</xdr:colOff>
      <xdr:row>9</xdr:row>
      <xdr:rowOff>68580</xdr:rowOff>
    </xdr:to>
    <xdr:sp macro="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301EF94B-FA49-40ED-B784-AA8145A9C176}"/>
            </a:ext>
          </a:extLst>
        </xdr:cNvPr>
        <xdr:cNvSpPr/>
      </xdr:nvSpPr>
      <xdr:spPr>
        <a:xfrm>
          <a:off x="1463040" y="1128460"/>
          <a:ext cx="1539240" cy="5708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4000" b="0" u="none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Devis</a:t>
          </a:r>
        </a:p>
      </xdr:txBody>
    </xdr:sp>
    <xdr:clientData/>
  </xdr:twoCellAnchor>
  <xdr:twoCellAnchor>
    <xdr:from>
      <xdr:col>4</xdr:col>
      <xdr:colOff>9525</xdr:colOff>
      <xdr:row>50</xdr:row>
      <xdr:rowOff>28071</xdr:rowOff>
    </xdr:from>
    <xdr:to>
      <xdr:col>11</xdr:col>
      <xdr:colOff>424050</xdr:colOff>
      <xdr:row>50</xdr:row>
      <xdr:rowOff>28071</xdr:rowOff>
    </xdr:to>
    <xdr:cxnSp macro="">
      <xdr:nvCxnSpPr>
        <xdr:cNvPr id="14" name="Connecteur droit 13">
          <a:extLst>
            <a:ext uri="{FF2B5EF4-FFF2-40B4-BE49-F238E27FC236}">
              <a16:creationId xmlns:a16="http://schemas.microsoft.com/office/drawing/2014/main" id="{0BD4B6C9-E69F-4233-9C22-6CC9423AC2DB}"/>
            </a:ext>
          </a:extLst>
        </xdr:cNvPr>
        <xdr:cNvCxnSpPr/>
      </xdr:nvCxnSpPr>
      <xdr:spPr>
        <a:xfrm>
          <a:off x="1866900" y="11248521"/>
          <a:ext cx="6120000" cy="0"/>
        </a:xfrm>
        <a:prstGeom prst="line">
          <a:avLst/>
        </a:prstGeom>
        <a:ln w="38100">
          <a:solidFill>
            <a:srgbClr val="3C41C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227499</xdr:colOff>
      <xdr:row>7</xdr:row>
      <xdr:rowOff>27370</xdr:rowOff>
    </xdr:from>
    <xdr:to>
      <xdr:col>15</xdr:col>
      <xdr:colOff>304299</xdr:colOff>
      <xdr:row>8</xdr:row>
      <xdr:rowOff>126430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F2D1C37A-72BE-4BD3-A7DE-97962E573441}"/>
            </a:ext>
          </a:extLst>
        </xdr:cNvPr>
        <xdr:cNvGrpSpPr/>
      </xdr:nvGrpSpPr>
      <xdr:grpSpPr>
        <a:xfrm>
          <a:off x="8783670" y="1279227"/>
          <a:ext cx="1296000" cy="316774"/>
          <a:chOff x="8752374" y="1246570"/>
          <a:chExt cx="1296000" cy="308610"/>
        </a:xfrm>
      </xdr:grpSpPr>
      <xdr:sp macro="[0]!nouveau_devis" textlink="">
        <xdr:nvSpPr>
          <xdr:cNvPr id="15" name="Rectangle : coins arrondis 14">
            <a:extLst>
              <a:ext uri="{FF2B5EF4-FFF2-40B4-BE49-F238E27FC236}">
                <a16:creationId xmlns:a16="http://schemas.microsoft.com/office/drawing/2014/main" id="{D4B68DF2-B9BA-43CA-83A7-52FD2307287C}"/>
              </a:ext>
            </a:extLst>
          </xdr:cNvPr>
          <xdr:cNvSpPr/>
        </xdr:nvSpPr>
        <xdr:spPr>
          <a:xfrm>
            <a:off x="8752374" y="1246570"/>
            <a:ext cx="1296000" cy="30861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glow rad="38100">
              <a:srgbClr val="DEDEEA">
                <a:alpha val="31765"/>
              </a:srgbClr>
            </a:glo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rgbClr val="464F5F"/>
                </a:solidFill>
                <a:latin typeface="Product Sans" panose="020B0403030502040203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 Nouveau</a:t>
            </a:r>
          </a:p>
        </xdr:txBody>
      </xdr:sp>
      <xdr:pic macro="[0]!nouveau_devis">
        <xdr:nvPicPr>
          <xdr:cNvPr id="3" name="Image 2">
            <a:extLst>
              <a:ext uri="{FF2B5EF4-FFF2-40B4-BE49-F238E27FC236}">
                <a16:creationId xmlns:a16="http://schemas.microsoft.com/office/drawing/2014/main" id="{90E92BC4-923D-46C6-8B2E-3577C609B1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53450" y="1323975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227499</xdr:colOff>
      <xdr:row>9</xdr:row>
      <xdr:rowOff>36895</xdr:rowOff>
    </xdr:from>
    <xdr:to>
      <xdr:col>15</xdr:col>
      <xdr:colOff>304299</xdr:colOff>
      <xdr:row>10</xdr:row>
      <xdr:rowOff>135955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6BC93B7F-D393-49C1-A206-D06287578E44}"/>
            </a:ext>
          </a:extLst>
        </xdr:cNvPr>
        <xdr:cNvGrpSpPr/>
      </xdr:nvGrpSpPr>
      <xdr:grpSpPr>
        <a:xfrm>
          <a:off x="8783670" y="1724181"/>
          <a:ext cx="1296000" cy="316774"/>
          <a:chOff x="8752374" y="1675195"/>
          <a:chExt cx="1296000" cy="308610"/>
        </a:xfrm>
      </xdr:grpSpPr>
      <xdr:sp macro="[0]!annuler_devis" textlink="">
        <xdr:nvSpPr>
          <xdr:cNvPr id="18" name="Rectangle : coins arrondis 17">
            <a:extLst>
              <a:ext uri="{FF2B5EF4-FFF2-40B4-BE49-F238E27FC236}">
                <a16:creationId xmlns:a16="http://schemas.microsoft.com/office/drawing/2014/main" id="{DDE23D34-38F7-483A-BD5F-ABD30EE805AE}"/>
              </a:ext>
            </a:extLst>
          </xdr:cNvPr>
          <xdr:cNvSpPr/>
        </xdr:nvSpPr>
        <xdr:spPr>
          <a:xfrm>
            <a:off x="8752374" y="1675195"/>
            <a:ext cx="1296000" cy="30861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glow rad="38100">
              <a:srgbClr val="DEDEEA">
                <a:alpha val="31765"/>
              </a:srgbClr>
            </a:glo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rgbClr val="464F5F"/>
                </a:solidFill>
                <a:latin typeface="Product Sans" panose="020B0403030502040203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Annuler</a:t>
            </a:r>
          </a:p>
        </xdr:txBody>
      </xdr:sp>
      <xdr:pic>
        <xdr:nvPicPr>
          <xdr:cNvPr id="5" name="Image 4">
            <a:extLst>
              <a:ext uri="{FF2B5EF4-FFF2-40B4-BE49-F238E27FC236}">
                <a16:creationId xmlns:a16="http://schemas.microsoft.com/office/drawing/2014/main" id="{526E74DB-1D18-41A1-B040-03E172E2FC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53450" y="1750200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227499</xdr:colOff>
      <xdr:row>11</xdr:row>
      <xdr:rowOff>74995</xdr:rowOff>
    </xdr:from>
    <xdr:to>
      <xdr:col>15</xdr:col>
      <xdr:colOff>304299</xdr:colOff>
      <xdr:row>13</xdr:row>
      <xdr:rowOff>21655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1E2F0205-E5D6-415D-90A8-DECE50B6DE6C}"/>
            </a:ext>
          </a:extLst>
        </xdr:cNvPr>
        <xdr:cNvGrpSpPr/>
      </xdr:nvGrpSpPr>
      <xdr:grpSpPr>
        <a:xfrm>
          <a:off x="8783670" y="2165052"/>
          <a:ext cx="1296000" cy="316774"/>
          <a:chOff x="8752374" y="2103820"/>
          <a:chExt cx="1296000" cy="308610"/>
        </a:xfrm>
      </xdr:grpSpPr>
      <xdr:sp macro="[0]!devis_imprimer" textlink="">
        <xdr:nvSpPr>
          <xdr:cNvPr id="19" name="Rectangle : coins arrondis 18">
            <a:extLst>
              <a:ext uri="{FF2B5EF4-FFF2-40B4-BE49-F238E27FC236}">
                <a16:creationId xmlns:a16="http://schemas.microsoft.com/office/drawing/2014/main" id="{B1497E03-7534-4A47-9B6D-91FCB7132556}"/>
              </a:ext>
            </a:extLst>
          </xdr:cNvPr>
          <xdr:cNvSpPr/>
        </xdr:nvSpPr>
        <xdr:spPr>
          <a:xfrm>
            <a:off x="8752374" y="2103820"/>
            <a:ext cx="1296000" cy="308610"/>
          </a:xfrm>
          <a:prstGeom prst="roundRect">
            <a:avLst/>
          </a:prstGeom>
          <a:solidFill>
            <a:srgbClr val="3C41CD"/>
          </a:solidFill>
          <a:ln>
            <a:noFill/>
          </a:ln>
          <a:effectLst>
            <a:glow rad="38100">
              <a:srgbClr val="DEDEEA">
                <a:alpha val="31765"/>
              </a:srgbClr>
            </a:glo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Product Sans" panose="020B0403030502040203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    Imprimer</a:t>
            </a:r>
          </a:p>
        </xdr:txBody>
      </xdr:sp>
      <xdr:pic macro="[0]!devis_imprimer">
        <xdr:nvPicPr>
          <xdr:cNvPr id="7" name="Image 6">
            <a:extLst>
              <a:ext uri="{FF2B5EF4-FFF2-40B4-BE49-F238E27FC236}">
                <a16:creationId xmlns:a16="http://schemas.microsoft.com/office/drawing/2014/main" id="{0D14D6CA-2108-4110-9ADA-EAB147FAA8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53450" y="2176425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430128</xdr:colOff>
      <xdr:row>12</xdr:row>
      <xdr:rowOff>96660</xdr:rowOff>
    </xdr:from>
    <xdr:to>
      <xdr:col>14</xdr:col>
      <xdr:colOff>528</xdr:colOff>
      <xdr:row>13</xdr:row>
      <xdr:rowOff>78540</xdr:rowOff>
    </xdr:to>
    <xdr:pic macro="[0]!devis_imprimer">
      <xdr:nvPicPr>
        <xdr:cNvPr id="2" name="Image 1">
          <a:extLst>
            <a:ext uri="{FF2B5EF4-FFF2-40B4-BE49-F238E27FC236}">
              <a16:creationId xmlns:a16="http://schemas.microsoft.com/office/drawing/2014/main" id="{77ECAFFE-744B-4C1D-BC40-10186729B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72148" y="2336940"/>
          <a:ext cx="180000" cy="16476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1401</xdr:rowOff>
    </xdr:from>
    <xdr:to>
      <xdr:col>26</xdr:col>
      <xdr:colOff>403860</xdr:colOff>
      <xdr:row>3</xdr:row>
      <xdr:rowOff>1401</xdr:rowOff>
    </xdr:to>
    <xdr:cxnSp macro="">
      <xdr:nvCxnSpPr>
        <xdr:cNvPr id="3" name="Connecteur droit 2">
          <a:extLst>
            <a:ext uri="{FF2B5EF4-FFF2-40B4-BE49-F238E27FC236}">
              <a16:creationId xmlns:a16="http://schemas.microsoft.com/office/drawing/2014/main" id="{94226C51-F396-4321-82A0-593C50B42A27}"/>
            </a:ext>
          </a:extLst>
        </xdr:cNvPr>
        <xdr:cNvCxnSpPr/>
      </xdr:nvCxnSpPr>
      <xdr:spPr>
        <a:xfrm>
          <a:off x="0" y="504321"/>
          <a:ext cx="1687068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129540</xdr:colOff>
      <xdr:row>0</xdr:row>
      <xdr:rowOff>84520</xdr:rowOff>
    </xdr:from>
    <xdr:to>
      <xdr:col>6</xdr:col>
      <xdr:colOff>310380</xdr:colOff>
      <xdr:row>2</xdr:row>
      <xdr:rowOff>31180</xdr:rowOff>
    </xdr:to>
    <xdr:sp macro="[0]!versDashboard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B2D2915-DFA9-4015-9890-C6F74AEAD01C}"/>
            </a:ext>
          </a:extLst>
        </xdr:cNvPr>
        <xdr:cNvSpPr/>
      </xdr:nvSpPr>
      <xdr:spPr>
        <a:xfrm>
          <a:off x="2903220" y="84520"/>
          <a:ext cx="10800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Dashboard</a:t>
          </a:r>
        </a:p>
      </xdr:txBody>
    </xdr:sp>
    <xdr:clientData/>
  </xdr:twoCellAnchor>
  <xdr:twoCellAnchor>
    <xdr:from>
      <xdr:col>6</xdr:col>
      <xdr:colOff>336084</xdr:colOff>
      <xdr:row>0</xdr:row>
      <xdr:rowOff>84520</xdr:rowOff>
    </xdr:from>
    <xdr:to>
      <xdr:col>7</xdr:col>
      <xdr:colOff>730284</xdr:colOff>
      <xdr:row>2</xdr:row>
      <xdr:rowOff>31180</xdr:rowOff>
    </xdr:to>
    <xdr:sp macro="[0]!versDevi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6D9E3D1F-8403-45FA-B53C-21696C1D1C0E}"/>
            </a:ext>
          </a:extLst>
        </xdr:cNvPr>
        <xdr:cNvSpPr/>
      </xdr:nvSpPr>
      <xdr:spPr>
        <a:xfrm>
          <a:off x="4008924" y="84520"/>
          <a:ext cx="10800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Devis</a:t>
          </a:r>
        </a:p>
      </xdr:txBody>
    </xdr:sp>
    <xdr:clientData/>
  </xdr:twoCellAnchor>
  <xdr:twoCellAnchor>
    <xdr:from>
      <xdr:col>7</xdr:col>
      <xdr:colOff>756888</xdr:colOff>
      <xdr:row>0</xdr:row>
      <xdr:rowOff>84520</xdr:rowOff>
    </xdr:from>
    <xdr:to>
      <xdr:col>9</xdr:col>
      <xdr:colOff>84288</xdr:colOff>
      <xdr:row>2</xdr:row>
      <xdr:rowOff>31180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A755D374-77CF-4AEF-B6E9-3328A2004132}"/>
            </a:ext>
          </a:extLst>
        </xdr:cNvPr>
        <xdr:cNvSpPr/>
      </xdr:nvSpPr>
      <xdr:spPr>
        <a:xfrm>
          <a:off x="5115528" y="84520"/>
          <a:ext cx="1080000" cy="312420"/>
        </a:xfrm>
        <a:prstGeom prst="roundRect">
          <a:avLst/>
        </a:prstGeom>
        <a:solidFill>
          <a:srgbClr val="EDF3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200" b="0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Commande</a:t>
          </a:r>
        </a:p>
      </xdr:txBody>
    </xdr:sp>
    <xdr:clientData/>
  </xdr:twoCellAnchor>
  <xdr:twoCellAnchor>
    <xdr:from>
      <xdr:col>9</xdr:col>
      <xdr:colOff>110892</xdr:colOff>
      <xdr:row>0</xdr:row>
      <xdr:rowOff>84520</xdr:rowOff>
    </xdr:from>
    <xdr:to>
      <xdr:col>11</xdr:col>
      <xdr:colOff>146952</xdr:colOff>
      <xdr:row>2</xdr:row>
      <xdr:rowOff>31180</xdr:rowOff>
    </xdr:to>
    <xdr:sp macro="[0]!versLivraison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C4E35B70-A30B-4915-B06C-9B75C372E3EE}"/>
            </a:ext>
          </a:extLst>
        </xdr:cNvPr>
        <xdr:cNvSpPr/>
      </xdr:nvSpPr>
      <xdr:spPr>
        <a:xfrm>
          <a:off x="6222132" y="84520"/>
          <a:ext cx="14991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Livraision</a:t>
          </a:r>
        </a:p>
      </xdr:txBody>
    </xdr:sp>
    <xdr:clientData/>
  </xdr:twoCellAnchor>
  <xdr:twoCellAnchor>
    <xdr:from>
      <xdr:col>11</xdr:col>
      <xdr:colOff>173556</xdr:colOff>
      <xdr:row>0</xdr:row>
      <xdr:rowOff>84520</xdr:rowOff>
    </xdr:from>
    <xdr:to>
      <xdr:col>13</xdr:col>
      <xdr:colOff>285816</xdr:colOff>
      <xdr:row>2</xdr:row>
      <xdr:rowOff>31180</xdr:rowOff>
    </xdr:to>
    <xdr:sp macro="[0]!versFactur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81637E93-2CC3-4864-9B3F-48AE5E9DC4E8}"/>
            </a:ext>
          </a:extLst>
        </xdr:cNvPr>
        <xdr:cNvSpPr/>
      </xdr:nvSpPr>
      <xdr:spPr>
        <a:xfrm>
          <a:off x="7747836" y="84520"/>
          <a:ext cx="10800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Facture</a:t>
          </a:r>
        </a:p>
      </xdr:txBody>
    </xdr:sp>
    <xdr:clientData/>
  </xdr:twoCellAnchor>
  <xdr:twoCellAnchor>
    <xdr:from>
      <xdr:col>2</xdr:col>
      <xdr:colOff>243841</xdr:colOff>
      <xdr:row>6</xdr:row>
      <xdr:rowOff>76900</xdr:rowOff>
    </xdr:from>
    <xdr:to>
      <xdr:col>7</xdr:col>
      <xdr:colOff>695326</xdr:colOff>
      <xdr:row>9</xdr:row>
      <xdr:rowOff>68580</xdr:rowOff>
    </xdr:to>
    <xdr:sp macro="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F00A8BE8-FDE0-404A-965F-F703CBA83342}"/>
            </a:ext>
          </a:extLst>
        </xdr:cNvPr>
        <xdr:cNvSpPr/>
      </xdr:nvSpPr>
      <xdr:spPr>
        <a:xfrm>
          <a:off x="1463041" y="1115125"/>
          <a:ext cx="3585210" cy="59175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2400" b="1" u="none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BON</a:t>
          </a:r>
          <a:r>
            <a:rPr lang="fr-FR" sz="2400" b="1" u="none" baseline="0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 DE COMMANDE</a:t>
          </a:r>
          <a:endParaRPr lang="fr-FR" sz="2400" b="1" u="none">
            <a:solidFill>
              <a:srgbClr val="3C41CD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>
    <xdr:from>
      <xdr:col>4</xdr:col>
      <xdr:colOff>9525</xdr:colOff>
      <xdr:row>50</xdr:row>
      <xdr:rowOff>28071</xdr:rowOff>
    </xdr:from>
    <xdr:to>
      <xdr:col>11</xdr:col>
      <xdr:colOff>424050</xdr:colOff>
      <xdr:row>50</xdr:row>
      <xdr:rowOff>28071</xdr:rowOff>
    </xdr:to>
    <xdr:cxnSp macro="">
      <xdr:nvCxnSpPr>
        <xdr:cNvPr id="14" name="Connecteur droit 13">
          <a:extLst>
            <a:ext uri="{FF2B5EF4-FFF2-40B4-BE49-F238E27FC236}">
              <a16:creationId xmlns:a16="http://schemas.microsoft.com/office/drawing/2014/main" id="{0A1AEF01-7650-43CF-86C7-34312D187400}"/>
            </a:ext>
          </a:extLst>
        </xdr:cNvPr>
        <xdr:cNvCxnSpPr/>
      </xdr:nvCxnSpPr>
      <xdr:spPr>
        <a:xfrm>
          <a:off x="1868805" y="10840851"/>
          <a:ext cx="6129525" cy="0"/>
        </a:xfrm>
        <a:prstGeom prst="line">
          <a:avLst/>
        </a:prstGeom>
        <a:ln w="38100">
          <a:solidFill>
            <a:srgbClr val="3C41C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227499</xdr:colOff>
      <xdr:row>7</xdr:row>
      <xdr:rowOff>27370</xdr:rowOff>
    </xdr:from>
    <xdr:to>
      <xdr:col>15</xdr:col>
      <xdr:colOff>304299</xdr:colOff>
      <xdr:row>8</xdr:row>
      <xdr:rowOff>126430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061236B1-DD79-402F-935C-C2DA122AFD9C}"/>
            </a:ext>
          </a:extLst>
        </xdr:cNvPr>
        <xdr:cNvGrpSpPr/>
      </xdr:nvGrpSpPr>
      <xdr:grpSpPr>
        <a:xfrm>
          <a:off x="8209449" y="1246570"/>
          <a:ext cx="1296000" cy="308610"/>
          <a:chOff x="8752374" y="1246570"/>
          <a:chExt cx="1296000" cy="308610"/>
        </a:xfrm>
      </xdr:grpSpPr>
      <xdr:sp macro="[0]!nouveau_commande" textlink="">
        <xdr:nvSpPr>
          <xdr:cNvPr id="16" name="Rectangle : coins arrondis 15">
            <a:extLst>
              <a:ext uri="{FF2B5EF4-FFF2-40B4-BE49-F238E27FC236}">
                <a16:creationId xmlns:a16="http://schemas.microsoft.com/office/drawing/2014/main" id="{9646F1FB-0E8C-4621-8D35-DE7AF80460FD}"/>
              </a:ext>
            </a:extLst>
          </xdr:cNvPr>
          <xdr:cNvSpPr/>
        </xdr:nvSpPr>
        <xdr:spPr>
          <a:xfrm>
            <a:off x="8752374" y="1246570"/>
            <a:ext cx="1296000" cy="30861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glow rad="38100">
              <a:srgbClr val="DEDEEA">
                <a:alpha val="31765"/>
              </a:srgbClr>
            </a:glo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rgbClr val="464F5F"/>
                </a:solidFill>
                <a:latin typeface="Product Sans" panose="020B0403030502040203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 Nouveau</a:t>
            </a:r>
          </a:p>
        </xdr:txBody>
      </xdr:sp>
      <xdr:pic macro="[0]!nouveau_devis">
        <xdr:nvPicPr>
          <xdr:cNvPr id="17" name="Image 16">
            <a:extLst>
              <a:ext uri="{FF2B5EF4-FFF2-40B4-BE49-F238E27FC236}">
                <a16:creationId xmlns:a16="http://schemas.microsoft.com/office/drawing/2014/main" id="{EB52FE1B-4B0F-42CB-9831-6A27B86D2F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53450" y="1323975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227499</xdr:colOff>
      <xdr:row>9</xdr:row>
      <xdr:rowOff>36895</xdr:rowOff>
    </xdr:from>
    <xdr:to>
      <xdr:col>15</xdr:col>
      <xdr:colOff>304299</xdr:colOff>
      <xdr:row>10</xdr:row>
      <xdr:rowOff>135955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2393366F-93A2-43DF-B429-E56F0AA54B71}"/>
            </a:ext>
          </a:extLst>
        </xdr:cNvPr>
        <xdr:cNvGrpSpPr/>
      </xdr:nvGrpSpPr>
      <xdr:grpSpPr>
        <a:xfrm>
          <a:off x="8209449" y="1675195"/>
          <a:ext cx="1296000" cy="308610"/>
          <a:chOff x="8752374" y="1675195"/>
          <a:chExt cx="1296000" cy="308610"/>
        </a:xfrm>
      </xdr:grpSpPr>
      <xdr:sp macro="[0]!annuler_commande" textlink="">
        <xdr:nvSpPr>
          <xdr:cNvPr id="19" name="Rectangle : coins arrondis 18">
            <a:extLst>
              <a:ext uri="{FF2B5EF4-FFF2-40B4-BE49-F238E27FC236}">
                <a16:creationId xmlns:a16="http://schemas.microsoft.com/office/drawing/2014/main" id="{7F204CE1-C679-4F68-8AE8-6AD643033BC7}"/>
              </a:ext>
            </a:extLst>
          </xdr:cNvPr>
          <xdr:cNvSpPr/>
        </xdr:nvSpPr>
        <xdr:spPr>
          <a:xfrm>
            <a:off x="8752374" y="1675195"/>
            <a:ext cx="1296000" cy="30861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glow rad="38100">
              <a:srgbClr val="DEDEEA">
                <a:alpha val="31765"/>
              </a:srgbClr>
            </a:glo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rgbClr val="464F5F"/>
                </a:solidFill>
                <a:latin typeface="Product Sans" panose="020B0403030502040203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Annuler</a:t>
            </a:r>
          </a:p>
        </xdr:txBody>
      </xdr:sp>
      <xdr:pic>
        <xdr:nvPicPr>
          <xdr:cNvPr id="20" name="Image 19">
            <a:extLst>
              <a:ext uri="{FF2B5EF4-FFF2-40B4-BE49-F238E27FC236}">
                <a16:creationId xmlns:a16="http://schemas.microsoft.com/office/drawing/2014/main" id="{0E2A3CB7-F899-4DFC-93CD-9FDB706915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53450" y="1750200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227499</xdr:colOff>
      <xdr:row>11</xdr:row>
      <xdr:rowOff>74995</xdr:rowOff>
    </xdr:from>
    <xdr:to>
      <xdr:col>15</xdr:col>
      <xdr:colOff>304299</xdr:colOff>
      <xdr:row>13</xdr:row>
      <xdr:rowOff>21655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E72B0BD1-E1AB-4954-975C-D647F2727C37}"/>
            </a:ext>
          </a:extLst>
        </xdr:cNvPr>
        <xdr:cNvGrpSpPr/>
      </xdr:nvGrpSpPr>
      <xdr:grpSpPr>
        <a:xfrm>
          <a:off x="8209449" y="2103820"/>
          <a:ext cx="1296000" cy="308610"/>
          <a:chOff x="8752374" y="2103820"/>
          <a:chExt cx="1296000" cy="308610"/>
        </a:xfrm>
      </xdr:grpSpPr>
      <xdr:sp macro="[0]!commande_imprimer" textlink="">
        <xdr:nvSpPr>
          <xdr:cNvPr id="22" name="Rectangle : coins arrondis 21">
            <a:extLst>
              <a:ext uri="{FF2B5EF4-FFF2-40B4-BE49-F238E27FC236}">
                <a16:creationId xmlns:a16="http://schemas.microsoft.com/office/drawing/2014/main" id="{F4BBF540-DEA2-46E7-965D-ABE570785252}"/>
              </a:ext>
            </a:extLst>
          </xdr:cNvPr>
          <xdr:cNvSpPr/>
        </xdr:nvSpPr>
        <xdr:spPr>
          <a:xfrm>
            <a:off x="8752374" y="2103820"/>
            <a:ext cx="1296000" cy="308610"/>
          </a:xfrm>
          <a:prstGeom prst="roundRect">
            <a:avLst/>
          </a:prstGeom>
          <a:solidFill>
            <a:srgbClr val="3C41CD"/>
          </a:solidFill>
          <a:ln>
            <a:noFill/>
          </a:ln>
          <a:effectLst>
            <a:glow rad="38100">
              <a:srgbClr val="DEDEEA">
                <a:alpha val="31765"/>
              </a:srgbClr>
            </a:glo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Product Sans" panose="020B0403030502040203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    Imprimer</a:t>
            </a:r>
          </a:p>
        </xdr:txBody>
      </xdr:sp>
      <xdr:pic macro="[0]!devis_imprimer">
        <xdr:nvPicPr>
          <xdr:cNvPr id="23" name="Image 22">
            <a:extLst>
              <a:ext uri="{FF2B5EF4-FFF2-40B4-BE49-F238E27FC236}">
                <a16:creationId xmlns:a16="http://schemas.microsoft.com/office/drawing/2014/main" id="{65254CD2-C9CD-4ABC-9502-56627AF231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53450" y="2176425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131871</xdr:rowOff>
    </xdr:from>
    <xdr:to>
      <xdr:col>26</xdr:col>
      <xdr:colOff>403860</xdr:colOff>
      <xdr:row>2</xdr:row>
      <xdr:rowOff>131871</xdr:rowOff>
    </xdr:to>
    <xdr:cxnSp macro="">
      <xdr:nvCxnSpPr>
        <xdr:cNvPr id="28" name="Connecteur droit 27">
          <a:extLst>
            <a:ext uri="{FF2B5EF4-FFF2-40B4-BE49-F238E27FC236}">
              <a16:creationId xmlns:a16="http://schemas.microsoft.com/office/drawing/2014/main" id="{EE1676AB-3283-415E-BCA3-C1B516A2412C}"/>
            </a:ext>
          </a:extLst>
        </xdr:cNvPr>
        <xdr:cNvCxnSpPr/>
      </xdr:nvCxnSpPr>
      <xdr:spPr>
        <a:xfrm>
          <a:off x="0" y="493821"/>
          <a:ext cx="16853535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443865</xdr:colOff>
      <xdr:row>0</xdr:row>
      <xdr:rowOff>66675</xdr:rowOff>
    </xdr:from>
    <xdr:to>
      <xdr:col>5</xdr:col>
      <xdr:colOff>243840</xdr:colOff>
      <xdr:row>2</xdr:row>
      <xdr:rowOff>43266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DECE5849-AD77-4F75-A090-CF4FF7222298}"/>
            </a:ext>
          </a:extLst>
        </xdr:cNvPr>
        <xdr:cNvGrpSpPr/>
      </xdr:nvGrpSpPr>
      <xdr:grpSpPr>
        <a:xfrm>
          <a:off x="1053465" y="66675"/>
          <a:ext cx="1962150" cy="338541"/>
          <a:chOff x="1053465" y="66675"/>
          <a:chExt cx="1962150" cy="338541"/>
        </a:xfrm>
      </xdr:grpSpPr>
      <xdr:sp macro="[0]!versDashboard" textlink="Parameters!E9">
        <xdr:nvSpPr>
          <xdr:cNvPr id="10" name="Rectangle : coins arrondis 9">
            <a:extLst>
              <a:ext uri="{FF2B5EF4-FFF2-40B4-BE49-F238E27FC236}">
                <a16:creationId xmlns:a16="http://schemas.microsoft.com/office/drawing/2014/main" id="{AF79E5EC-9448-4B86-A387-F711DFD3C3C8}"/>
              </a:ext>
            </a:extLst>
          </xdr:cNvPr>
          <xdr:cNvSpPr/>
        </xdr:nvSpPr>
        <xdr:spPr>
          <a:xfrm>
            <a:off x="1447800" y="84520"/>
            <a:ext cx="1567815" cy="30861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557EE984-606F-4DB9-AD3F-1CEFF0B4DA62}" type="TxLink">
              <a:rPr lang="en-US" sz="1400" b="1" i="0" u="none" strike="noStrike">
                <a:solidFill>
                  <a:srgbClr val="464F5F"/>
                </a:solidFill>
                <a:latin typeface="Montserrat"/>
                <a:ea typeface="Open Sans SemiBold" panose="020B0706030804020204" pitchFamily="34" charset="0"/>
                <a:cs typeface="Open Sans SemiBold" panose="020B0706030804020204" pitchFamily="34" charset="0"/>
              </a:rPr>
              <a:pPr algn="l"/>
              <a:t>MouloloEden</a:t>
            </a:fld>
            <a:endParaRPr lang="fr-FR" sz="1400" b="1">
              <a:solidFill>
                <a:srgbClr val="131524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endParaRPr>
          </a:p>
        </xdr:txBody>
      </xdr:sp>
      <xdr:pic macro="[0]!versDashboard">
        <xdr:nvPicPr>
          <xdr:cNvPr id="29" name="Image 28">
            <a:extLst>
              <a:ext uri="{FF2B5EF4-FFF2-40B4-BE49-F238E27FC236}">
                <a16:creationId xmlns:a16="http://schemas.microsoft.com/office/drawing/2014/main" id="{4766F1EC-0035-4925-AD8E-F41F0D2730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3465" y="66675"/>
            <a:ext cx="394335" cy="338541"/>
          </a:xfrm>
          <a:prstGeom prst="rect">
            <a:avLst/>
          </a:prstGeom>
        </xdr:spPr>
      </xdr:pic>
    </xdr:grpSp>
    <xdr:clientData/>
  </xdr:twoCellAnchor>
  <xdr:twoCellAnchor editAs="oneCell">
    <xdr:from>
      <xdr:col>20</xdr:col>
      <xdr:colOff>293370</xdr:colOff>
      <xdr:row>0</xdr:row>
      <xdr:rowOff>111850</xdr:rowOff>
    </xdr:from>
    <xdr:to>
      <xdr:col>20</xdr:col>
      <xdr:colOff>545370</xdr:colOff>
      <xdr:row>1</xdr:row>
      <xdr:rowOff>179065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F466108E-1D90-43BB-BD87-5AA0053CF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85445" y="111850"/>
          <a:ext cx="252000" cy="248190"/>
        </a:xfrm>
        <a:prstGeom prst="rect">
          <a:avLst/>
        </a:prstGeom>
      </xdr:spPr>
    </xdr:pic>
    <xdr:clientData/>
  </xdr:twoCellAnchor>
  <xdr:twoCellAnchor editAs="oneCell">
    <xdr:from>
      <xdr:col>19</xdr:col>
      <xdr:colOff>351930</xdr:colOff>
      <xdr:row>0</xdr:row>
      <xdr:rowOff>111850</xdr:rowOff>
    </xdr:from>
    <xdr:to>
      <xdr:col>19</xdr:col>
      <xdr:colOff>603930</xdr:colOff>
      <xdr:row>1</xdr:row>
      <xdr:rowOff>179065</xdr:rowOff>
    </xdr:to>
    <xdr:pic macro="[0]!versParamètre">
      <xdr:nvPicPr>
        <xdr:cNvPr id="31" name="Image 30">
          <a:extLst>
            <a:ext uri="{FF2B5EF4-FFF2-40B4-BE49-F238E27FC236}">
              <a16:creationId xmlns:a16="http://schemas.microsoft.com/office/drawing/2014/main" id="{376C6890-7225-482F-9E10-0BE801FCD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405" y="111850"/>
          <a:ext cx="252000" cy="248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430128</xdr:colOff>
      <xdr:row>12</xdr:row>
      <xdr:rowOff>96660</xdr:rowOff>
    </xdr:from>
    <xdr:to>
      <xdr:col>14</xdr:col>
      <xdr:colOff>528</xdr:colOff>
      <xdr:row>13</xdr:row>
      <xdr:rowOff>78540</xdr:rowOff>
    </xdr:to>
    <xdr:pic macro="[0]!devis_imprimer">
      <xdr:nvPicPr>
        <xdr:cNvPr id="2" name="Image 1">
          <a:extLst>
            <a:ext uri="{FF2B5EF4-FFF2-40B4-BE49-F238E27FC236}">
              <a16:creationId xmlns:a16="http://schemas.microsoft.com/office/drawing/2014/main" id="{DACD2DE5-0E79-497B-8A41-ED5308B47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8728" y="2336940"/>
          <a:ext cx="180000" cy="16476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1401</xdr:rowOff>
    </xdr:from>
    <xdr:to>
      <xdr:col>26</xdr:col>
      <xdr:colOff>403860</xdr:colOff>
      <xdr:row>3</xdr:row>
      <xdr:rowOff>1401</xdr:rowOff>
    </xdr:to>
    <xdr:cxnSp macro="">
      <xdr:nvCxnSpPr>
        <xdr:cNvPr id="3" name="Connecteur droit 2">
          <a:extLst>
            <a:ext uri="{FF2B5EF4-FFF2-40B4-BE49-F238E27FC236}">
              <a16:creationId xmlns:a16="http://schemas.microsoft.com/office/drawing/2014/main" id="{07D26A17-3A0A-4B99-AE1D-753B45653E02}"/>
            </a:ext>
          </a:extLst>
        </xdr:cNvPr>
        <xdr:cNvCxnSpPr/>
      </xdr:nvCxnSpPr>
      <xdr:spPr>
        <a:xfrm>
          <a:off x="0" y="504321"/>
          <a:ext cx="1617726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129540</xdr:colOff>
      <xdr:row>0</xdr:row>
      <xdr:rowOff>84520</xdr:rowOff>
    </xdr:from>
    <xdr:to>
      <xdr:col>6</xdr:col>
      <xdr:colOff>310380</xdr:colOff>
      <xdr:row>2</xdr:row>
      <xdr:rowOff>31180</xdr:rowOff>
    </xdr:to>
    <xdr:sp macro="[0]!versDashboard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451022E2-7FEA-4395-BC2A-2CF138EE1488}"/>
            </a:ext>
          </a:extLst>
        </xdr:cNvPr>
        <xdr:cNvSpPr/>
      </xdr:nvSpPr>
      <xdr:spPr>
        <a:xfrm>
          <a:off x="2758440" y="84520"/>
          <a:ext cx="10800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Dashboard</a:t>
          </a:r>
        </a:p>
      </xdr:txBody>
    </xdr:sp>
    <xdr:clientData/>
  </xdr:twoCellAnchor>
  <xdr:twoCellAnchor>
    <xdr:from>
      <xdr:col>6</xdr:col>
      <xdr:colOff>336084</xdr:colOff>
      <xdr:row>0</xdr:row>
      <xdr:rowOff>84520</xdr:rowOff>
    </xdr:from>
    <xdr:to>
      <xdr:col>7</xdr:col>
      <xdr:colOff>730284</xdr:colOff>
      <xdr:row>2</xdr:row>
      <xdr:rowOff>31180</xdr:rowOff>
    </xdr:to>
    <xdr:sp macro="[0]!versDevi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C288800D-BFF2-40EA-8E60-A0CF37AEFBDE}"/>
            </a:ext>
          </a:extLst>
        </xdr:cNvPr>
        <xdr:cNvSpPr/>
      </xdr:nvSpPr>
      <xdr:spPr>
        <a:xfrm>
          <a:off x="3864144" y="84520"/>
          <a:ext cx="10800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Devis</a:t>
          </a:r>
        </a:p>
      </xdr:txBody>
    </xdr:sp>
    <xdr:clientData/>
  </xdr:twoCellAnchor>
  <xdr:twoCellAnchor>
    <xdr:from>
      <xdr:col>7</xdr:col>
      <xdr:colOff>756888</xdr:colOff>
      <xdr:row>0</xdr:row>
      <xdr:rowOff>84520</xdr:rowOff>
    </xdr:from>
    <xdr:to>
      <xdr:col>9</xdr:col>
      <xdr:colOff>84288</xdr:colOff>
      <xdr:row>2</xdr:row>
      <xdr:rowOff>31180</xdr:rowOff>
    </xdr:to>
    <xdr:sp macro="[0]!versCommand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ED7AF-99B6-4564-94B9-8C513A59BC76}"/>
            </a:ext>
          </a:extLst>
        </xdr:cNvPr>
        <xdr:cNvSpPr/>
      </xdr:nvSpPr>
      <xdr:spPr>
        <a:xfrm>
          <a:off x="4970748" y="84520"/>
          <a:ext cx="10800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Commande</a:t>
          </a:r>
        </a:p>
      </xdr:txBody>
    </xdr:sp>
    <xdr:clientData/>
  </xdr:twoCellAnchor>
  <xdr:twoCellAnchor>
    <xdr:from>
      <xdr:col>9</xdr:col>
      <xdr:colOff>110892</xdr:colOff>
      <xdr:row>0</xdr:row>
      <xdr:rowOff>84520</xdr:rowOff>
    </xdr:from>
    <xdr:to>
      <xdr:col>11</xdr:col>
      <xdr:colOff>146952</xdr:colOff>
      <xdr:row>2</xdr:row>
      <xdr:rowOff>31180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05E54350-470C-4A11-9D1F-5939869EE7A0}"/>
            </a:ext>
          </a:extLst>
        </xdr:cNvPr>
        <xdr:cNvSpPr/>
      </xdr:nvSpPr>
      <xdr:spPr>
        <a:xfrm>
          <a:off x="6077352" y="84520"/>
          <a:ext cx="1179060" cy="312420"/>
        </a:xfrm>
        <a:prstGeom prst="roundRect">
          <a:avLst/>
        </a:prstGeom>
        <a:solidFill>
          <a:srgbClr val="EDF3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200" b="0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Livraison</a:t>
          </a:r>
        </a:p>
      </xdr:txBody>
    </xdr:sp>
    <xdr:clientData/>
  </xdr:twoCellAnchor>
  <xdr:twoCellAnchor>
    <xdr:from>
      <xdr:col>11</xdr:col>
      <xdr:colOff>173556</xdr:colOff>
      <xdr:row>0</xdr:row>
      <xdr:rowOff>84520</xdr:rowOff>
    </xdr:from>
    <xdr:to>
      <xdr:col>13</xdr:col>
      <xdr:colOff>285816</xdr:colOff>
      <xdr:row>2</xdr:row>
      <xdr:rowOff>31180</xdr:rowOff>
    </xdr:to>
    <xdr:sp macro="[0]!versFactur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BB4B6EC7-F1EC-4A3F-992F-0CD863FE0BF2}"/>
            </a:ext>
          </a:extLst>
        </xdr:cNvPr>
        <xdr:cNvSpPr/>
      </xdr:nvSpPr>
      <xdr:spPr>
        <a:xfrm>
          <a:off x="7283016" y="84520"/>
          <a:ext cx="8514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Facture</a:t>
          </a:r>
        </a:p>
      </xdr:txBody>
    </xdr:sp>
    <xdr:clientData/>
  </xdr:twoCellAnchor>
  <xdr:twoCellAnchor>
    <xdr:from>
      <xdr:col>2</xdr:col>
      <xdr:colOff>243841</xdr:colOff>
      <xdr:row>6</xdr:row>
      <xdr:rowOff>76900</xdr:rowOff>
    </xdr:from>
    <xdr:to>
      <xdr:col>7</xdr:col>
      <xdr:colOff>695326</xdr:colOff>
      <xdr:row>9</xdr:row>
      <xdr:rowOff>68580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E35D392E-3AA7-474A-ADE4-304ED9903585}"/>
            </a:ext>
          </a:extLst>
        </xdr:cNvPr>
        <xdr:cNvSpPr/>
      </xdr:nvSpPr>
      <xdr:spPr>
        <a:xfrm>
          <a:off x="1463041" y="1128460"/>
          <a:ext cx="3446145" cy="60128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2400" b="1" u="none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BON</a:t>
          </a:r>
          <a:r>
            <a:rPr lang="fr-FR" sz="2400" b="1" u="none" baseline="0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 DE LIVRAISON</a:t>
          </a:r>
          <a:endParaRPr lang="fr-FR" sz="2400" b="1" u="none">
            <a:solidFill>
              <a:srgbClr val="3C41CD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>
    <xdr:from>
      <xdr:col>4</xdr:col>
      <xdr:colOff>9525</xdr:colOff>
      <xdr:row>50</xdr:row>
      <xdr:rowOff>28071</xdr:rowOff>
    </xdr:from>
    <xdr:to>
      <xdr:col>11</xdr:col>
      <xdr:colOff>424050</xdr:colOff>
      <xdr:row>50</xdr:row>
      <xdr:rowOff>28071</xdr:rowOff>
    </xdr:to>
    <xdr:cxnSp macro="">
      <xdr:nvCxnSpPr>
        <xdr:cNvPr id="11" name="Connecteur droit 10">
          <a:extLst>
            <a:ext uri="{FF2B5EF4-FFF2-40B4-BE49-F238E27FC236}">
              <a16:creationId xmlns:a16="http://schemas.microsoft.com/office/drawing/2014/main" id="{5C2ED207-E293-4103-88FF-C914E6699E47}"/>
            </a:ext>
          </a:extLst>
        </xdr:cNvPr>
        <xdr:cNvCxnSpPr/>
      </xdr:nvCxnSpPr>
      <xdr:spPr>
        <a:xfrm>
          <a:off x="1868805" y="10436991"/>
          <a:ext cx="5603745" cy="0"/>
        </a:xfrm>
        <a:prstGeom prst="line">
          <a:avLst/>
        </a:prstGeom>
        <a:ln w="38100">
          <a:solidFill>
            <a:srgbClr val="3C41C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227499</xdr:colOff>
      <xdr:row>7</xdr:row>
      <xdr:rowOff>27370</xdr:rowOff>
    </xdr:from>
    <xdr:to>
      <xdr:col>15</xdr:col>
      <xdr:colOff>304299</xdr:colOff>
      <xdr:row>8</xdr:row>
      <xdr:rowOff>126430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465B5209-1658-4DB3-B952-238CAD5171C9}"/>
            </a:ext>
          </a:extLst>
        </xdr:cNvPr>
        <xdr:cNvGrpSpPr/>
      </xdr:nvGrpSpPr>
      <xdr:grpSpPr>
        <a:xfrm>
          <a:off x="8152299" y="1246570"/>
          <a:ext cx="1296000" cy="308610"/>
          <a:chOff x="8752374" y="1246570"/>
          <a:chExt cx="1296000" cy="308610"/>
        </a:xfrm>
      </xdr:grpSpPr>
      <xdr:sp macro="[0]!nouveau_livraison" textlink="">
        <xdr:nvSpPr>
          <xdr:cNvPr id="13" name="Rectangle : coins arrondis 12">
            <a:extLst>
              <a:ext uri="{FF2B5EF4-FFF2-40B4-BE49-F238E27FC236}">
                <a16:creationId xmlns:a16="http://schemas.microsoft.com/office/drawing/2014/main" id="{97EF4748-7C17-4E57-8067-1BE6093959F7}"/>
              </a:ext>
            </a:extLst>
          </xdr:cNvPr>
          <xdr:cNvSpPr/>
        </xdr:nvSpPr>
        <xdr:spPr>
          <a:xfrm>
            <a:off x="8752374" y="1246570"/>
            <a:ext cx="1296000" cy="30861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glow rad="38100">
              <a:srgbClr val="DEDEEA">
                <a:alpha val="31765"/>
              </a:srgbClr>
            </a:glo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rgbClr val="464F5F"/>
                </a:solidFill>
                <a:latin typeface="Product Sans" panose="020B0403030502040203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 Nouveau</a:t>
            </a:r>
          </a:p>
        </xdr:txBody>
      </xdr:sp>
      <xdr:pic macro="[0]!nouveau_devis">
        <xdr:nvPicPr>
          <xdr:cNvPr id="14" name="Image 13">
            <a:extLst>
              <a:ext uri="{FF2B5EF4-FFF2-40B4-BE49-F238E27FC236}">
                <a16:creationId xmlns:a16="http://schemas.microsoft.com/office/drawing/2014/main" id="{83DBBE4C-053D-4D49-82FD-6AE5E016E7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53450" y="1323975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227499</xdr:colOff>
      <xdr:row>9</xdr:row>
      <xdr:rowOff>36895</xdr:rowOff>
    </xdr:from>
    <xdr:to>
      <xdr:col>15</xdr:col>
      <xdr:colOff>304299</xdr:colOff>
      <xdr:row>10</xdr:row>
      <xdr:rowOff>135955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16480578-63DE-4F71-8682-7C733D49E9EB}"/>
            </a:ext>
          </a:extLst>
        </xdr:cNvPr>
        <xdr:cNvGrpSpPr/>
      </xdr:nvGrpSpPr>
      <xdr:grpSpPr>
        <a:xfrm>
          <a:off x="8152299" y="1675195"/>
          <a:ext cx="1296000" cy="308610"/>
          <a:chOff x="8752374" y="1675195"/>
          <a:chExt cx="1296000" cy="308610"/>
        </a:xfrm>
      </xdr:grpSpPr>
      <xdr:sp macro="[0]!annuler_livraison" textlink="">
        <xdr:nvSpPr>
          <xdr:cNvPr id="16" name="Rectangle : coins arrondis 15">
            <a:extLst>
              <a:ext uri="{FF2B5EF4-FFF2-40B4-BE49-F238E27FC236}">
                <a16:creationId xmlns:a16="http://schemas.microsoft.com/office/drawing/2014/main" id="{F1707299-9520-4A01-AD6F-8455DC5FDA77}"/>
              </a:ext>
            </a:extLst>
          </xdr:cNvPr>
          <xdr:cNvSpPr/>
        </xdr:nvSpPr>
        <xdr:spPr>
          <a:xfrm>
            <a:off x="8752374" y="1675195"/>
            <a:ext cx="1296000" cy="30861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glow rad="38100">
              <a:srgbClr val="DEDEEA">
                <a:alpha val="31765"/>
              </a:srgbClr>
            </a:glo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rgbClr val="464F5F"/>
                </a:solidFill>
                <a:latin typeface="Product Sans" panose="020B0403030502040203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Annuler</a:t>
            </a:r>
          </a:p>
        </xdr:txBody>
      </xdr:sp>
      <xdr:pic>
        <xdr:nvPicPr>
          <xdr:cNvPr id="17" name="Image 16">
            <a:extLst>
              <a:ext uri="{FF2B5EF4-FFF2-40B4-BE49-F238E27FC236}">
                <a16:creationId xmlns:a16="http://schemas.microsoft.com/office/drawing/2014/main" id="{AEACB76E-F00D-4B40-9158-F5CB9274B1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53450" y="1750200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227499</xdr:colOff>
      <xdr:row>11</xdr:row>
      <xdr:rowOff>74995</xdr:rowOff>
    </xdr:from>
    <xdr:to>
      <xdr:col>15</xdr:col>
      <xdr:colOff>304299</xdr:colOff>
      <xdr:row>13</xdr:row>
      <xdr:rowOff>21655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415FF97-0721-477C-A226-F944DC191E62}"/>
            </a:ext>
          </a:extLst>
        </xdr:cNvPr>
        <xdr:cNvGrpSpPr/>
      </xdr:nvGrpSpPr>
      <xdr:grpSpPr>
        <a:xfrm>
          <a:off x="8152299" y="2103820"/>
          <a:ext cx="1296000" cy="308610"/>
          <a:chOff x="8752374" y="2103820"/>
          <a:chExt cx="1296000" cy="308610"/>
        </a:xfrm>
      </xdr:grpSpPr>
      <xdr:sp macro="[0]!livraison_imprimer" textlink="">
        <xdr:nvSpPr>
          <xdr:cNvPr id="19" name="Rectangle : coins arrondis 18">
            <a:extLst>
              <a:ext uri="{FF2B5EF4-FFF2-40B4-BE49-F238E27FC236}">
                <a16:creationId xmlns:a16="http://schemas.microsoft.com/office/drawing/2014/main" id="{6D661F33-517A-46B1-983A-2777CB005F94}"/>
              </a:ext>
            </a:extLst>
          </xdr:cNvPr>
          <xdr:cNvSpPr/>
        </xdr:nvSpPr>
        <xdr:spPr>
          <a:xfrm>
            <a:off x="8752374" y="2103820"/>
            <a:ext cx="1296000" cy="308610"/>
          </a:xfrm>
          <a:prstGeom prst="roundRect">
            <a:avLst/>
          </a:prstGeom>
          <a:solidFill>
            <a:srgbClr val="3C41CD"/>
          </a:solidFill>
          <a:ln>
            <a:noFill/>
          </a:ln>
          <a:effectLst>
            <a:glow rad="38100">
              <a:srgbClr val="DEDEEA">
                <a:alpha val="31765"/>
              </a:srgbClr>
            </a:glo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Product Sans" panose="020B0403030502040203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    Imprimer</a:t>
            </a:r>
          </a:p>
        </xdr:txBody>
      </xdr:sp>
      <xdr:pic macro="[0]!devis_imprimer">
        <xdr:nvPicPr>
          <xdr:cNvPr id="20" name="Image 19">
            <a:extLst>
              <a:ext uri="{FF2B5EF4-FFF2-40B4-BE49-F238E27FC236}">
                <a16:creationId xmlns:a16="http://schemas.microsoft.com/office/drawing/2014/main" id="{68501CB2-32B2-4FF3-8D2C-12A0A6A5E5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53450" y="2176425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131871</xdr:rowOff>
    </xdr:from>
    <xdr:to>
      <xdr:col>26</xdr:col>
      <xdr:colOff>403860</xdr:colOff>
      <xdr:row>2</xdr:row>
      <xdr:rowOff>131871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7FB56E0C-4359-44D8-B19E-B3CABF42CA57}"/>
            </a:ext>
          </a:extLst>
        </xdr:cNvPr>
        <xdr:cNvCxnSpPr/>
      </xdr:nvCxnSpPr>
      <xdr:spPr>
        <a:xfrm>
          <a:off x="0" y="497631"/>
          <a:ext cx="1617726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131871</xdr:rowOff>
    </xdr:from>
    <xdr:to>
      <xdr:col>26</xdr:col>
      <xdr:colOff>403860</xdr:colOff>
      <xdr:row>2</xdr:row>
      <xdr:rowOff>131871</xdr:rowOff>
    </xdr:to>
    <xdr:cxnSp macro="">
      <xdr:nvCxnSpPr>
        <xdr:cNvPr id="25" name="Connecteur droit 24">
          <a:extLst>
            <a:ext uri="{FF2B5EF4-FFF2-40B4-BE49-F238E27FC236}">
              <a16:creationId xmlns:a16="http://schemas.microsoft.com/office/drawing/2014/main" id="{16E77F94-C0D5-4085-B4B7-6D51F90BC4C1}"/>
            </a:ext>
          </a:extLst>
        </xdr:cNvPr>
        <xdr:cNvCxnSpPr/>
      </xdr:nvCxnSpPr>
      <xdr:spPr>
        <a:xfrm>
          <a:off x="0" y="493821"/>
          <a:ext cx="1625346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462915</xdr:colOff>
      <xdr:row>0</xdr:row>
      <xdr:rowOff>76200</xdr:rowOff>
    </xdr:from>
    <xdr:to>
      <xdr:col>5</xdr:col>
      <xdr:colOff>243840</xdr:colOff>
      <xdr:row>2</xdr:row>
      <xdr:rowOff>52791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C5BAF86E-3962-4D53-81CB-3B0FA0D53E0C}"/>
            </a:ext>
          </a:extLst>
        </xdr:cNvPr>
        <xdr:cNvGrpSpPr/>
      </xdr:nvGrpSpPr>
      <xdr:grpSpPr>
        <a:xfrm>
          <a:off x="1072515" y="76200"/>
          <a:ext cx="1885950" cy="338541"/>
          <a:chOff x="1072515" y="76200"/>
          <a:chExt cx="1885950" cy="338541"/>
        </a:xfrm>
      </xdr:grpSpPr>
      <xdr:sp macro="[0]!versDashboard" textlink="Parameters!E9">
        <xdr:nvSpPr>
          <xdr:cNvPr id="9" name="Rectangle : coins arrondis 8">
            <a:extLst>
              <a:ext uri="{FF2B5EF4-FFF2-40B4-BE49-F238E27FC236}">
                <a16:creationId xmlns:a16="http://schemas.microsoft.com/office/drawing/2014/main" id="{3C5036DD-6F46-434D-A8CA-5B49D8C86D15}"/>
              </a:ext>
            </a:extLst>
          </xdr:cNvPr>
          <xdr:cNvSpPr/>
        </xdr:nvSpPr>
        <xdr:spPr>
          <a:xfrm>
            <a:off x="1447800" y="84520"/>
            <a:ext cx="1510665" cy="30861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557EE984-606F-4DB9-AD3F-1CEFF0B4DA62}" type="TxLink">
              <a:rPr lang="en-US" sz="1400" b="1" i="0" u="none" strike="noStrike">
                <a:solidFill>
                  <a:srgbClr val="464F5F"/>
                </a:solidFill>
                <a:latin typeface="Montserrat"/>
                <a:ea typeface="Open Sans SemiBold" panose="020B0706030804020204" pitchFamily="34" charset="0"/>
                <a:cs typeface="Open Sans SemiBold" panose="020B0706030804020204" pitchFamily="34" charset="0"/>
              </a:rPr>
              <a:pPr algn="l"/>
              <a:t>MouloloEden</a:t>
            </a:fld>
            <a:endParaRPr lang="fr-FR" sz="1400" b="1">
              <a:solidFill>
                <a:srgbClr val="131524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endParaRPr>
          </a:p>
        </xdr:txBody>
      </xdr:sp>
      <xdr:pic macro="[0]!versDashboard">
        <xdr:nvPicPr>
          <xdr:cNvPr id="26" name="Image 25">
            <a:extLst>
              <a:ext uri="{FF2B5EF4-FFF2-40B4-BE49-F238E27FC236}">
                <a16:creationId xmlns:a16="http://schemas.microsoft.com/office/drawing/2014/main" id="{220D5F13-71D2-4E8F-B6FA-3199BCC9FB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2515" y="76200"/>
            <a:ext cx="394335" cy="338541"/>
          </a:xfrm>
          <a:prstGeom prst="rect">
            <a:avLst/>
          </a:prstGeom>
        </xdr:spPr>
      </xdr:pic>
    </xdr:grpSp>
    <xdr:clientData/>
  </xdr:twoCellAnchor>
  <xdr:twoCellAnchor editAs="oneCell">
    <xdr:from>
      <xdr:col>20</xdr:col>
      <xdr:colOff>83820</xdr:colOff>
      <xdr:row>0</xdr:row>
      <xdr:rowOff>111850</xdr:rowOff>
    </xdr:from>
    <xdr:to>
      <xdr:col>20</xdr:col>
      <xdr:colOff>335820</xdr:colOff>
      <xdr:row>1</xdr:row>
      <xdr:rowOff>179065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9915F1C1-68F6-4E28-B24D-19EC35A2C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5820" y="111850"/>
          <a:ext cx="252000" cy="248190"/>
        </a:xfrm>
        <a:prstGeom prst="rect">
          <a:avLst/>
        </a:prstGeom>
      </xdr:spPr>
    </xdr:pic>
    <xdr:clientData/>
  </xdr:twoCellAnchor>
  <xdr:twoCellAnchor editAs="oneCell">
    <xdr:from>
      <xdr:col>19</xdr:col>
      <xdr:colOff>142380</xdr:colOff>
      <xdr:row>0</xdr:row>
      <xdr:rowOff>111850</xdr:rowOff>
    </xdr:from>
    <xdr:to>
      <xdr:col>19</xdr:col>
      <xdr:colOff>394380</xdr:colOff>
      <xdr:row>1</xdr:row>
      <xdr:rowOff>179065</xdr:rowOff>
    </xdr:to>
    <xdr:pic macro="[0]!versParamètre">
      <xdr:nvPicPr>
        <xdr:cNvPr id="28" name="Image 27">
          <a:extLst>
            <a:ext uri="{FF2B5EF4-FFF2-40B4-BE49-F238E27FC236}">
              <a16:creationId xmlns:a16="http://schemas.microsoft.com/office/drawing/2014/main" id="{AA736EB9-D78C-45D0-AB70-F9F510BBB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24780" y="111850"/>
          <a:ext cx="252000" cy="248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430128</xdr:colOff>
      <xdr:row>14</xdr:row>
      <xdr:rowOff>96660</xdr:rowOff>
    </xdr:from>
    <xdr:to>
      <xdr:col>14</xdr:col>
      <xdr:colOff>528</xdr:colOff>
      <xdr:row>15</xdr:row>
      <xdr:rowOff>78540</xdr:rowOff>
    </xdr:to>
    <xdr:pic macro="[0]!devis_imprimer">
      <xdr:nvPicPr>
        <xdr:cNvPr id="2" name="Image 1">
          <a:extLst>
            <a:ext uri="{FF2B5EF4-FFF2-40B4-BE49-F238E27FC236}">
              <a16:creationId xmlns:a16="http://schemas.microsoft.com/office/drawing/2014/main" id="{7D98C3F5-A9BA-4056-9122-EA5C3ACE8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8728" y="2336940"/>
          <a:ext cx="180000" cy="16476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1401</xdr:rowOff>
    </xdr:from>
    <xdr:to>
      <xdr:col>26</xdr:col>
      <xdr:colOff>403860</xdr:colOff>
      <xdr:row>3</xdr:row>
      <xdr:rowOff>1401</xdr:rowOff>
    </xdr:to>
    <xdr:cxnSp macro="">
      <xdr:nvCxnSpPr>
        <xdr:cNvPr id="3" name="Connecteur droit 2">
          <a:extLst>
            <a:ext uri="{FF2B5EF4-FFF2-40B4-BE49-F238E27FC236}">
              <a16:creationId xmlns:a16="http://schemas.microsoft.com/office/drawing/2014/main" id="{DC5655A0-D9CA-428D-92C3-4913718AF7CF}"/>
            </a:ext>
          </a:extLst>
        </xdr:cNvPr>
        <xdr:cNvCxnSpPr/>
      </xdr:nvCxnSpPr>
      <xdr:spPr>
        <a:xfrm>
          <a:off x="0" y="504321"/>
          <a:ext cx="1617726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129540</xdr:colOff>
      <xdr:row>0</xdr:row>
      <xdr:rowOff>84520</xdr:rowOff>
    </xdr:from>
    <xdr:to>
      <xdr:col>6</xdr:col>
      <xdr:colOff>310380</xdr:colOff>
      <xdr:row>2</xdr:row>
      <xdr:rowOff>31180</xdr:rowOff>
    </xdr:to>
    <xdr:sp macro="[0]!versDashboard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FE5CBA33-4D9A-4815-BE4B-D4C0F363BD8A}"/>
            </a:ext>
          </a:extLst>
        </xdr:cNvPr>
        <xdr:cNvSpPr/>
      </xdr:nvSpPr>
      <xdr:spPr>
        <a:xfrm>
          <a:off x="2758440" y="84520"/>
          <a:ext cx="10800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Dashboard</a:t>
          </a:r>
        </a:p>
      </xdr:txBody>
    </xdr:sp>
    <xdr:clientData/>
  </xdr:twoCellAnchor>
  <xdr:twoCellAnchor>
    <xdr:from>
      <xdr:col>6</xdr:col>
      <xdr:colOff>336084</xdr:colOff>
      <xdr:row>0</xdr:row>
      <xdr:rowOff>84520</xdr:rowOff>
    </xdr:from>
    <xdr:to>
      <xdr:col>7</xdr:col>
      <xdr:colOff>730284</xdr:colOff>
      <xdr:row>2</xdr:row>
      <xdr:rowOff>31180</xdr:rowOff>
    </xdr:to>
    <xdr:sp macro="[0]!versDevi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C3E726EB-33FB-456E-9068-33E1FBE18B7A}"/>
            </a:ext>
          </a:extLst>
        </xdr:cNvPr>
        <xdr:cNvSpPr/>
      </xdr:nvSpPr>
      <xdr:spPr>
        <a:xfrm>
          <a:off x="3864144" y="84520"/>
          <a:ext cx="10800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Devis</a:t>
          </a:r>
        </a:p>
      </xdr:txBody>
    </xdr:sp>
    <xdr:clientData/>
  </xdr:twoCellAnchor>
  <xdr:twoCellAnchor>
    <xdr:from>
      <xdr:col>7</xdr:col>
      <xdr:colOff>756888</xdr:colOff>
      <xdr:row>0</xdr:row>
      <xdr:rowOff>84520</xdr:rowOff>
    </xdr:from>
    <xdr:to>
      <xdr:col>9</xdr:col>
      <xdr:colOff>84288</xdr:colOff>
      <xdr:row>2</xdr:row>
      <xdr:rowOff>31180</xdr:rowOff>
    </xdr:to>
    <xdr:sp macro="[0]!versCommand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06A2758-6DFD-457F-8ABD-B4C006DDED4D}"/>
            </a:ext>
          </a:extLst>
        </xdr:cNvPr>
        <xdr:cNvSpPr/>
      </xdr:nvSpPr>
      <xdr:spPr>
        <a:xfrm>
          <a:off x="4970748" y="84520"/>
          <a:ext cx="10800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Commande</a:t>
          </a:r>
        </a:p>
      </xdr:txBody>
    </xdr:sp>
    <xdr:clientData/>
  </xdr:twoCellAnchor>
  <xdr:twoCellAnchor>
    <xdr:from>
      <xdr:col>9</xdr:col>
      <xdr:colOff>110892</xdr:colOff>
      <xdr:row>0</xdr:row>
      <xdr:rowOff>84520</xdr:rowOff>
    </xdr:from>
    <xdr:to>
      <xdr:col>11</xdr:col>
      <xdr:colOff>146952</xdr:colOff>
      <xdr:row>2</xdr:row>
      <xdr:rowOff>31180</xdr:rowOff>
    </xdr:to>
    <xdr:sp macro="[0]!versLivraison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AE9A2EF2-7C62-4045-94F5-DC1D32943863}"/>
            </a:ext>
          </a:extLst>
        </xdr:cNvPr>
        <xdr:cNvSpPr/>
      </xdr:nvSpPr>
      <xdr:spPr>
        <a:xfrm>
          <a:off x="6077352" y="84520"/>
          <a:ext cx="117906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Livraison</a:t>
          </a:r>
        </a:p>
      </xdr:txBody>
    </xdr:sp>
    <xdr:clientData/>
  </xdr:twoCellAnchor>
  <xdr:twoCellAnchor>
    <xdr:from>
      <xdr:col>11</xdr:col>
      <xdr:colOff>173556</xdr:colOff>
      <xdr:row>0</xdr:row>
      <xdr:rowOff>84520</xdr:rowOff>
    </xdr:from>
    <xdr:to>
      <xdr:col>13</xdr:col>
      <xdr:colOff>285816</xdr:colOff>
      <xdr:row>2</xdr:row>
      <xdr:rowOff>31180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6B621E2-A276-440C-8C44-9E17887B8F24}"/>
            </a:ext>
          </a:extLst>
        </xdr:cNvPr>
        <xdr:cNvSpPr/>
      </xdr:nvSpPr>
      <xdr:spPr>
        <a:xfrm>
          <a:off x="7283016" y="84520"/>
          <a:ext cx="851400" cy="312420"/>
        </a:xfrm>
        <a:prstGeom prst="roundRect">
          <a:avLst/>
        </a:prstGeom>
        <a:solidFill>
          <a:srgbClr val="EDF3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200" b="0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Facture</a:t>
          </a:r>
        </a:p>
      </xdr:txBody>
    </xdr:sp>
    <xdr:clientData/>
  </xdr:twoCellAnchor>
  <xdr:twoCellAnchor>
    <xdr:from>
      <xdr:col>2</xdr:col>
      <xdr:colOff>243841</xdr:colOff>
      <xdr:row>8</xdr:row>
      <xdr:rowOff>76900</xdr:rowOff>
    </xdr:from>
    <xdr:to>
      <xdr:col>7</xdr:col>
      <xdr:colOff>695326</xdr:colOff>
      <xdr:row>11</xdr:row>
      <xdr:rowOff>68580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E23CC540-8F6D-49B2-A554-0F74CF92B112}"/>
            </a:ext>
          </a:extLst>
        </xdr:cNvPr>
        <xdr:cNvSpPr/>
      </xdr:nvSpPr>
      <xdr:spPr>
        <a:xfrm>
          <a:off x="1463041" y="1128460"/>
          <a:ext cx="3446145" cy="60128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3600" b="1" u="none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FACTURE</a:t>
          </a:r>
        </a:p>
      </xdr:txBody>
    </xdr:sp>
    <xdr:clientData/>
  </xdr:twoCellAnchor>
  <xdr:twoCellAnchor>
    <xdr:from>
      <xdr:col>4</xdr:col>
      <xdr:colOff>9525</xdr:colOff>
      <xdr:row>52</xdr:row>
      <xdr:rowOff>28071</xdr:rowOff>
    </xdr:from>
    <xdr:to>
      <xdr:col>11</xdr:col>
      <xdr:colOff>424050</xdr:colOff>
      <xdr:row>52</xdr:row>
      <xdr:rowOff>28071</xdr:rowOff>
    </xdr:to>
    <xdr:cxnSp macro="">
      <xdr:nvCxnSpPr>
        <xdr:cNvPr id="11" name="Connecteur droit 10">
          <a:extLst>
            <a:ext uri="{FF2B5EF4-FFF2-40B4-BE49-F238E27FC236}">
              <a16:creationId xmlns:a16="http://schemas.microsoft.com/office/drawing/2014/main" id="{B34D1EB5-87F8-4BD6-9D78-26934B88AC6C}"/>
            </a:ext>
          </a:extLst>
        </xdr:cNvPr>
        <xdr:cNvCxnSpPr/>
      </xdr:nvCxnSpPr>
      <xdr:spPr>
        <a:xfrm>
          <a:off x="1868805" y="10436991"/>
          <a:ext cx="5603745" cy="0"/>
        </a:xfrm>
        <a:prstGeom prst="line">
          <a:avLst/>
        </a:prstGeom>
        <a:ln w="38100">
          <a:solidFill>
            <a:srgbClr val="3C41C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227499</xdr:colOff>
      <xdr:row>9</xdr:row>
      <xdr:rowOff>27370</xdr:rowOff>
    </xdr:from>
    <xdr:to>
      <xdr:col>15</xdr:col>
      <xdr:colOff>304299</xdr:colOff>
      <xdr:row>10</xdr:row>
      <xdr:rowOff>126430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C5B00160-B1F0-43C3-BDBA-45DBC4447221}"/>
            </a:ext>
          </a:extLst>
        </xdr:cNvPr>
        <xdr:cNvGrpSpPr/>
      </xdr:nvGrpSpPr>
      <xdr:grpSpPr>
        <a:xfrm>
          <a:off x="8114199" y="1608520"/>
          <a:ext cx="1296000" cy="308610"/>
          <a:chOff x="8752374" y="1246570"/>
          <a:chExt cx="1296000" cy="308610"/>
        </a:xfrm>
      </xdr:grpSpPr>
      <xdr:sp macro="[0]!nouveau_facture" textlink="">
        <xdr:nvSpPr>
          <xdr:cNvPr id="13" name="Rectangle : coins arrondis 12">
            <a:extLst>
              <a:ext uri="{FF2B5EF4-FFF2-40B4-BE49-F238E27FC236}">
                <a16:creationId xmlns:a16="http://schemas.microsoft.com/office/drawing/2014/main" id="{C37A76AA-1C30-4127-A826-1DF3ED2B231B}"/>
              </a:ext>
            </a:extLst>
          </xdr:cNvPr>
          <xdr:cNvSpPr/>
        </xdr:nvSpPr>
        <xdr:spPr>
          <a:xfrm>
            <a:off x="8752374" y="1246570"/>
            <a:ext cx="1296000" cy="30861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glow rad="38100">
              <a:srgbClr val="DEDEEA">
                <a:alpha val="31765"/>
              </a:srgbClr>
            </a:glo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rgbClr val="464F5F"/>
                </a:solidFill>
                <a:latin typeface="Product Sans" panose="020B0403030502040203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 Nouveau</a:t>
            </a:r>
          </a:p>
        </xdr:txBody>
      </xdr:sp>
      <xdr:pic macro="[0]!nouveau_devis">
        <xdr:nvPicPr>
          <xdr:cNvPr id="14" name="Image 13">
            <a:extLst>
              <a:ext uri="{FF2B5EF4-FFF2-40B4-BE49-F238E27FC236}">
                <a16:creationId xmlns:a16="http://schemas.microsoft.com/office/drawing/2014/main" id="{52CF6D26-D8FF-46E9-81F7-1C3519E9DE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53450" y="1323975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227499</xdr:colOff>
      <xdr:row>11</xdr:row>
      <xdr:rowOff>36895</xdr:rowOff>
    </xdr:from>
    <xdr:to>
      <xdr:col>15</xdr:col>
      <xdr:colOff>304299</xdr:colOff>
      <xdr:row>12</xdr:row>
      <xdr:rowOff>135955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B20CB80F-CB53-45F8-AE9D-4FA16937F577}"/>
            </a:ext>
          </a:extLst>
        </xdr:cNvPr>
        <xdr:cNvGrpSpPr/>
      </xdr:nvGrpSpPr>
      <xdr:grpSpPr>
        <a:xfrm>
          <a:off x="8114199" y="2037145"/>
          <a:ext cx="1296000" cy="308610"/>
          <a:chOff x="8752374" y="1675195"/>
          <a:chExt cx="1296000" cy="308610"/>
        </a:xfrm>
      </xdr:grpSpPr>
      <xdr:sp macro="[0]!annuler_facture" textlink="">
        <xdr:nvSpPr>
          <xdr:cNvPr id="16" name="Rectangle : coins arrondis 15">
            <a:extLst>
              <a:ext uri="{FF2B5EF4-FFF2-40B4-BE49-F238E27FC236}">
                <a16:creationId xmlns:a16="http://schemas.microsoft.com/office/drawing/2014/main" id="{A93B5ED2-6F50-4931-BDCD-455B882493AA}"/>
              </a:ext>
            </a:extLst>
          </xdr:cNvPr>
          <xdr:cNvSpPr/>
        </xdr:nvSpPr>
        <xdr:spPr>
          <a:xfrm>
            <a:off x="8752374" y="1675195"/>
            <a:ext cx="1296000" cy="30861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glow rad="38100">
              <a:srgbClr val="DEDEEA">
                <a:alpha val="31765"/>
              </a:srgbClr>
            </a:glo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rgbClr val="464F5F"/>
                </a:solidFill>
                <a:latin typeface="Product Sans" panose="020B0403030502040203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Annuler</a:t>
            </a:r>
          </a:p>
        </xdr:txBody>
      </xdr:sp>
      <xdr:pic macro="[0]!annuler_facture">
        <xdr:nvPicPr>
          <xdr:cNvPr id="17" name="Image 16">
            <a:extLst>
              <a:ext uri="{FF2B5EF4-FFF2-40B4-BE49-F238E27FC236}">
                <a16:creationId xmlns:a16="http://schemas.microsoft.com/office/drawing/2014/main" id="{9A639DF6-B4EA-4F69-9DD8-58483C251B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53450" y="1750200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227499</xdr:colOff>
      <xdr:row>13</xdr:row>
      <xdr:rowOff>74995</xdr:rowOff>
    </xdr:from>
    <xdr:to>
      <xdr:col>15</xdr:col>
      <xdr:colOff>304299</xdr:colOff>
      <xdr:row>15</xdr:row>
      <xdr:rowOff>21655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CF687663-67EE-46F9-A3EA-5933A13BDDCF}"/>
            </a:ext>
          </a:extLst>
        </xdr:cNvPr>
        <xdr:cNvGrpSpPr/>
      </xdr:nvGrpSpPr>
      <xdr:grpSpPr>
        <a:xfrm>
          <a:off x="8114199" y="2465770"/>
          <a:ext cx="1296000" cy="308610"/>
          <a:chOff x="8752374" y="2103820"/>
          <a:chExt cx="1296000" cy="308610"/>
        </a:xfrm>
      </xdr:grpSpPr>
      <xdr:sp macro="[0]!facture_enregistrer" textlink="">
        <xdr:nvSpPr>
          <xdr:cNvPr id="19" name="Rectangle : coins arrondis 18">
            <a:extLst>
              <a:ext uri="{FF2B5EF4-FFF2-40B4-BE49-F238E27FC236}">
                <a16:creationId xmlns:a16="http://schemas.microsoft.com/office/drawing/2014/main" id="{BD965453-2958-4A86-A18D-316C56E061C0}"/>
              </a:ext>
            </a:extLst>
          </xdr:cNvPr>
          <xdr:cNvSpPr/>
        </xdr:nvSpPr>
        <xdr:spPr>
          <a:xfrm>
            <a:off x="8752374" y="2103820"/>
            <a:ext cx="1296000" cy="308610"/>
          </a:xfrm>
          <a:prstGeom prst="roundRect">
            <a:avLst/>
          </a:prstGeom>
          <a:solidFill>
            <a:srgbClr val="3C41CD"/>
          </a:solidFill>
          <a:ln>
            <a:noFill/>
          </a:ln>
          <a:effectLst>
            <a:glow rad="38100">
              <a:srgbClr val="DEDEEA">
                <a:alpha val="31765"/>
              </a:srgbClr>
            </a:glo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200" b="1">
                <a:solidFill>
                  <a:schemeClr val="bg1"/>
                </a:solidFill>
                <a:latin typeface="Product Sans" panose="020B0403030502040203" pitchFamily="34" charset="0"/>
                <a:ea typeface="Open Sans SemiBold" panose="020B0706030804020204" pitchFamily="34" charset="0"/>
                <a:cs typeface="Open Sans SemiBold" panose="020B0706030804020204" pitchFamily="34" charset="0"/>
              </a:rPr>
              <a:t>        Enregistrer</a:t>
            </a:r>
          </a:p>
        </xdr:txBody>
      </xdr:sp>
      <xdr:pic macro="[0]!facture_imprimer">
        <xdr:nvPicPr>
          <xdr:cNvPr id="20" name="Image 19">
            <a:extLst>
              <a:ext uri="{FF2B5EF4-FFF2-40B4-BE49-F238E27FC236}">
                <a16:creationId xmlns:a16="http://schemas.microsoft.com/office/drawing/2014/main" id="{85034F10-4BAF-4FE6-98D5-A062339243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53450" y="2176425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131871</xdr:rowOff>
    </xdr:from>
    <xdr:to>
      <xdr:col>26</xdr:col>
      <xdr:colOff>403860</xdr:colOff>
      <xdr:row>2</xdr:row>
      <xdr:rowOff>131871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A8E2F8FB-4ABA-415C-96B8-061AC8D0A1E3}"/>
            </a:ext>
          </a:extLst>
        </xdr:cNvPr>
        <xdr:cNvCxnSpPr/>
      </xdr:nvCxnSpPr>
      <xdr:spPr>
        <a:xfrm>
          <a:off x="0" y="497631"/>
          <a:ext cx="1617726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131871</xdr:rowOff>
    </xdr:from>
    <xdr:to>
      <xdr:col>26</xdr:col>
      <xdr:colOff>403860</xdr:colOff>
      <xdr:row>2</xdr:row>
      <xdr:rowOff>131871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F9A0C3AF-DEC9-4D28-840F-E297E338A931}"/>
            </a:ext>
          </a:extLst>
        </xdr:cNvPr>
        <xdr:cNvCxnSpPr/>
      </xdr:nvCxnSpPr>
      <xdr:spPr>
        <a:xfrm>
          <a:off x="0" y="497631"/>
          <a:ext cx="1617726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131871</xdr:rowOff>
    </xdr:from>
    <xdr:to>
      <xdr:col>26</xdr:col>
      <xdr:colOff>403860</xdr:colOff>
      <xdr:row>2</xdr:row>
      <xdr:rowOff>131871</xdr:rowOff>
    </xdr:to>
    <xdr:cxnSp macro="">
      <xdr:nvCxnSpPr>
        <xdr:cNvPr id="26" name="Connecteur droit 25">
          <a:extLst>
            <a:ext uri="{FF2B5EF4-FFF2-40B4-BE49-F238E27FC236}">
              <a16:creationId xmlns:a16="http://schemas.microsoft.com/office/drawing/2014/main" id="{8C0943EA-9633-4AA2-8CCB-B4FA155062CB}"/>
            </a:ext>
          </a:extLst>
        </xdr:cNvPr>
        <xdr:cNvCxnSpPr/>
      </xdr:nvCxnSpPr>
      <xdr:spPr>
        <a:xfrm>
          <a:off x="0" y="493821"/>
          <a:ext cx="16167735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472440</xdr:colOff>
      <xdr:row>0</xdr:row>
      <xdr:rowOff>66675</xdr:rowOff>
    </xdr:from>
    <xdr:to>
      <xdr:col>5</xdr:col>
      <xdr:colOff>243840</xdr:colOff>
      <xdr:row>2</xdr:row>
      <xdr:rowOff>43266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B9CAE402-6141-4741-81ED-7317EAF8B23F}"/>
            </a:ext>
          </a:extLst>
        </xdr:cNvPr>
        <xdr:cNvGrpSpPr/>
      </xdr:nvGrpSpPr>
      <xdr:grpSpPr>
        <a:xfrm>
          <a:off x="1082040" y="66675"/>
          <a:ext cx="1838325" cy="338541"/>
          <a:chOff x="1082040" y="66675"/>
          <a:chExt cx="1838325" cy="338541"/>
        </a:xfrm>
      </xdr:grpSpPr>
      <xdr:sp macro="[0]!versDashboard" textlink="Parameters!E9">
        <xdr:nvSpPr>
          <xdr:cNvPr id="9" name="Rectangle : coins arrondis 8">
            <a:extLst>
              <a:ext uri="{FF2B5EF4-FFF2-40B4-BE49-F238E27FC236}">
                <a16:creationId xmlns:a16="http://schemas.microsoft.com/office/drawing/2014/main" id="{8819E04E-F477-46A8-913F-794DE9DEC7A0}"/>
              </a:ext>
            </a:extLst>
          </xdr:cNvPr>
          <xdr:cNvSpPr/>
        </xdr:nvSpPr>
        <xdr:spPr>
          <a:xfrm>
            <a:off x="1447800" y="84520"/>
            <a:ext cx="1472565" cy="30861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557EE984-606F-4DB9-AD3F-1CEFF0B4DA62}" type="TxLink">
              <a:rPr lang="en-US" sz="1400" b="1" i="0" u="none" strike="noStrike">
                <a:solidFill>
                  <a:srgbClr val="464F5F"/>
                </a:solidFill>
                <a:latin typeface="Montserrat"/>
                <a:ea typeface="Open Sans SemiBold" panose="020B0706030804020204" pitchFamily="34" charset="0"/>
                <a:cs typeface="Open Sans SemiBold" panose="020B0706030804020204" pitchFamily="34" charset="0"/>
              </a:rPr>
              <a:pPr algn="l"/>
              <a:t>MouloloEden</a:t>
            </a:fld>
            <a:endParaRPr lang="fr-FR" sz="1400" b="1">
              <a:solidFill>
                <a:srgbClr val="131524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endParaRPr>
          </a:p>
        </xdr:txBody>
      </xdr:sp>
      <xdr:pic macro="[0]!versDashboard">
        <xdr:nvPicPr>
          <xdr:cNvPr id="27" name="Image 26">
            <a:extLst>
              <a:ext uri="{FF2B5EF4-FFF2-40B4-BE49-F238E27FC236}">
                <a16:creationId xmlns:a16="http://schemas.microsoft.com/office/drawing/2014/main" id="{11F48D12-4050-4050-95EF-5C785339B4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040" y="66675"/>
            <a:ext cx="394335" cy="338541"/>
          </a:xfrm>
          <a:prstGeom prst="rect">
            <a:avLst/>
          </a:prstGeom>
        </xdr:spPr>
      </xdr:pic>
    </xdr:grpSp>
    <xdr:clientData/>
  </xdr:twoCellAnchor>
  <xdr:twoCellAnchor editAs="oneCell">
    <xdr:from>
      <xdr:col>19</xdr:col>
      <xdr:colOff>198120</xdr:colOff>
      <xdr:row>0</xdr:row>
      <xdr:rowOff>111850</xdr:rowOff>
    </xdr:from>
    <xdr:to>
      <xdr:col>19</xdr:col>
      <xdr:colOff>450120</xdr:colOff>
      <xdr:row>1</xdr:row>
      <xdr:rowOff>179065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7FA2B487-56C9-470C-A7F0-FAE7FA3E6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94795" y="111850"/>
          <a:ext cx="252000" cy="248190"/>
        </a:xfrm>
        <a:prstGeom prst="rect">
          <a:avLst/>
        </a:prstGeom>
      </xdr:spPr>
    </xdr:pic>
    <xdr:clientData/>
  </xdr:twoCellAnchor>
  <xdr:twoCellAnchor editAs="oneCell">
    <xdr:from>
      <xdr:col>18</xdr:col>
      <xdr:colOff>256680</xdr:colOff>
      <xdr:row>0</xdr:row>
      <xdr:rowOff>111850</xdr:rowOff>
    </xdr:from>
    <xdr:to>
      <xdr:col>18</xdr:col>
      <xdr:colOff>508680</xdr:colOff>
      <xdr:row>1</xdr:row>
      <xdr:rowOff>179065</xdr:rowOff>
    </xdr:to>
    <xdr:pic macro="[0]!versParamètre">
      <xdr:nvPicPr>
        <xdr:cNvPr id="29" name="Image 28">
          <a:extLst>
            <a:ext uri="{FF2B5EF4-FFF2-40B4-BE49-F238E27FC236}">
              <a16:creationId xmlns:a16="http://schemas.microsoft.com/office/drawing/2014/main" id="{7C86E44D-3596-4051-A893-16FB31419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3755" y="111850"/>
          <a:ext cx="252000" cy="248190"/>
        </a:xfrm>
        <a:prstGeom prst="rect">
          <a:avLst/>
        </a:prstGeom>
      </xdr:spPr>
    </xdr:pic>
    <xdr:clientData/>
  </xdr:twoCellAnchor>
  <xdr:twoCellAnchor>
    <xdr:from>
      <xdr:col>2</xdr:col>
      <xdr:colOff>9525</xdr:colOff>
      <xdr:row>5</xdr:row>
      <xdr:rowOff>103296</xdr:rowOff>
    </xdr:from>
    <xdr:to>
      <xdr:col>21</xdr:col>
      <xdr:colOff>273225</xdr:colOff>
      <xdr:row>5</xdr:row>
      <xdr:rowOff>103296</xdr:rowOff>
    </xdr:to>
    <xdr:cxnSp macro="">
      <xdr:nvCxnSpPr>
        <xdr:cNvPr id="30" name="Connecteur droit 29">
          <a:extLst>
            <a:ext uri="{FF2B5EF4-FFF2-40B4-BE49-F238E27FC236}">
              <a16:creationId xmlns:a16="http://schemas.microsoft.com/office/drawing/2014/main" id="{EE65F229-DA1D-48B4-82E5-27539FEA45D9}"/>
            </a:ext>
          </a:extLst>
        </xdr:cNvPr>
        <xdr:cNvCxnSpPr/>
      </xdr:nvCxnSpPr>
      <xdr:spPr>
        <a:xfrm>
          <a:off x="1228725" y="960546"/>
          <a:ext cx="1180800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558165</xdr:colOff>
      <xdr:row>3</xdr:row>
      <xdr:rowOff>113095</xdr:rowOff>
    </xdr:from>
    <xdr:to>
      <xdr:col>4</xdr:col>
      <xdr:colOff>386580</xdr:colOff>
      <xdr:row>5</xdr:row>
      <xdr:rowOff>59755</xdr:rowOff>
    </xdr:to>
    <xdr:sp macro="" textlink="">
      <xdr:nvSpPr>
        <xdr:cNvPr id="31" name="Rectangle : coins arrondis 30">
          <a:extLst>
            <a:ext uri="{FF2B5EF4-FFF2-40B4-BE49-F238E27FC236}">
              <a16:creationId xmlns:a16="http://schemas.microsoft.com/office/drawing/2014/main" id="{E2BAC298-4679-4F16-A0AC-10DB100D9C5A}"/>
            </a:ext>
          </a:extLst>
        </xdr:cNvPr>
        <xdr:cNvSpPr/>
      </xdr:nvSpPr>
      <xdr:spPr>
        <a:xfrm>
          <a:off x="1167765" y="608395"/>
          <a:ext cx="1076190" cy="30861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Création</a:t>
          </a:r>
        </a:p>
      </xdr:txBody>
    </xdr:sp>
    <xdr:clientData/>
  </xdr:twoCellAnchor>
  <xdr:twoCellAnchor>
    <xdr:from>
      <xdr:col>4</xdr:col>
      <xdr:colOff>481964</xdr:colOff>
      <xdr:row>3</xdr:row>
      <xdr:rowOff>113095</xdr:rowOff>
    </xdr:from>
    <xdr:to>
      <xdr:col>6</xdr:col>
      <xdr:colOff>190499</xdr:colOff>
      <xdr:row>5</xdr:row>
      <xdr:rowOff>59755</xdr:rowOff>
    </xdr:to>
    <xdr:sp macro="[0]!versListeFacture" textlink="">
      <xdr:nvSpPr>
        <xdr:cNvPr id="32" name="Rectangle : coins arrondis 31">
          <a:extLst>
            <a:ext uri="{FF2B5EF4-FFF2-40B4-BE49-F238E27FC236}">
              <a16:creationId xmlns:a16="http://schemas.microsoft.com/office/drawing/2014/main" id="{7D2F40BE-EB5B-4A0F-A41E-35CB019029E5}"/>
            </a:ext>
          </a:extLst>
        </xdr:cNvPr>
        <xdr:cNvSpPr/>
      </xdr:nvSpPr>
      <xdr:spPr>
        <a:xfrm>
          <a:off x="2339339" y="608395"/>
          <a:ext cx="1423035" cy="30861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Liste des factures</a:t>
          </a:r>
        </a:p>
      </xdr:txBody>
    </xdr:sp>
    <xdr:clientData/>
  </xdr:twoCellAnchor>
  <xdr:twoCellAnchor>
    <xdr:from>
      <xdr:col>2</xdr:col>
      <xdr:colOff>0</xdr:colOff>
      <xdr:row>5</xdr:row>
      <xdr:rowOff>103296</xdr:rowOff>
    </xdr:from>
    <xdr:to>
      <xdr:col>4</xdr:col>
      <xdr:colOff>189825</xdr:colOff>
      <xdr:row>5</xdr:row>
      <xdr:rowOff>103296</xdr:rowOff>
    </xdr:to>
    <xdr:cxnSp macro="">
      <xdr:nvCxnSpPr>
        <xdr:cNvPr id="33" name="Connecteur droit 32">
          <a:extLst>
            <a:ext uri="{FF2B5EF4-FFF2-40B4-BE49-F238E27FC236}">
              <a16:creationId xmlns:a16="http://schemas.microsoft.com/office/drawing/2014/main" id="{58EB1D20-729E-463A-B837-EEBBBF15CE1E}"/>
            </a:ext>
          </a:extLst>
        </xdr:cNvPr>
        <xdr:cNvCxnSpPr/>
      </xdr:nvCxnSpPr>
      <xdr:spPr>
        <a:xfrm>
          <a:off x="1219200" y="960546"/>
          <a:ext cx="828000" cy="0"/>
        </a:xfrm>
        <a:prstGeom prst="line">
          <a:avLst/>
        </a:prstGeom>
        <a:ln w="19050"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1401</xdr:rowOff>
    </xdr:from>
    <xdr:to>
      <xdr:col>26</xdr:col>
      <xdr:colOff>403860</xdr:colOff>
      <xdr:row>3</xdr:row>
      <xdr:rowOff>1401</xdr:rowOff>
    </xdr:to>
    <xdr:cxnSp macro="">
      <xdr:nvCxnSpPr>
        <xdr:cNvPr id="3" name="Connecteur droit 2">
          <a:extLst>
            <a:ext uri="{FF2B5EF4-FFF2-40B4-BE49-F238E27FC236}">
              <a16:creationId xmlns:a16="http://schemas.microsoft.com/office/drawing/2014/main" id="{CC03FE8E-3954-4AFE-8190-3A9D167CA692}"/>
            </a:ext>
          </a:extLst>
        </xdr:cNvPr>
        <xdr:cNvCxnSpPr/>
      </xdr:nvCxnSpPr>
      <xdr:spPr>
        <a:xfrm>
          <a:off x="0" y="504321"/>
          <a:ext cx="1622298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853440</xdr:colOff>
      <xdr:row>0</xdr:row>
      <xdr:rowOff>84520</xdr:rowOff>
    </xdr:from>
    <xdr:to>
      <xdr:col>5</xdr:col>
      <xdr:colOff>462780</xdr:colOff>
      <xdr:row>2</xdr:row>
      <xdr:rowOff>31180</xdr:rowOff>
    </xdr:to>
    <xdr:sp macro="[0]!versDashboard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21EAF97-1F34-492E-8738-E834E27F47DB}"/>
            </a:ext>
          </a:extLst>
        </xdr:cNvPr>
        <xdr:cNvSpPr/>
      </xdr:nvSpPr>
      <xdr:spPr>
        <a:xfrm>
          <a:off x="2729865" y="84520"/>
          <a:ext cx="1076190" cy="30861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Dashboard</a:t>
          </a:r>
        </a:p>
      </xdr:txBody>
    </xdr:sp>
    <xdr:clientData/>
  </xdr:twoCellAnchor>
  <xdr:twoCellAnchor>
    <xdr:from>
      <xdr:col>5</xdr:col>
      <xdr:colOff>488484</xdr:colOff>
      <xdr:row>0</xdr:row>
      <xdr:rowOff>84520</xdr:rowOff>
    </xdr:from>
    <xdr:to>
      <xdr:col>6</xdr:col>
      <xdr:colOff>520734</xdr:colOff>
      <xdr:row>2</xdr:row>
      <xdr:rowOff>31180</xdr:rowOff>
    </xdr:to>
    <xdr:sp macro="[0]!versDevi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98341EC-9378-402A-8170-9CF572125692}"/>
            </a:ext>
          </a:extLst>
        </xdr:cNvPr>
        <xdr:cNvSpPr/>
      </xdr:nvSpPr>
      <xdr:spPr>
        <a:xfrm>
          <a:off x="3831759" y="84520"/>
          <a:ext cx="1080000" cy="30861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Devis</a:t>
          </a:r>
        </a:p>
      </xdr:txBody>
    </xdr:sp>
    <xdr:clientData/>
  </xdr:twoCellAnchor>
  <xdr:twoCellAnchor>
    <xdr:from>
      <xdr:col>6</xdr:col>
      <xdr:colOff>547338</xdr:colOff>
      <xdr:row>0</xdr:row>
      <xdr:rowOff>84520</xdr:rowOff>
    </xdr:from>
    <xdr:to>
      <xdr:col>7</xdr:col>
      <xdr:colOff>46188</xdr:colOff>
      <xdr:row>2</xdr:row>
      <xdr:rowOff>31180</xdr:rowOff>
    </xdr:to>
    <xdr:sp macro="[0]!versCommand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480CAAE1-F53C-441B-8CDA-82AF55E650A2}"/>
            </a:ext>
          </a:extLst>
        </xdr:cNvPr>
        <xdr:cNvSpPr/>
      </xdr:nvSpPr>
      <xdr:spPr>
        <a:xfrm>
          <a:off x="4938363" y="84520"/>
          <a:ext cx="1080000" cy="30861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Commande</a:t>
          </a:r>
        </a:p>
      </xdr:txBody>
    </xdr:sp>
    <xdr:clientData/>
  </xdr:twoCellAnchor>
  <xdr:twoCellAnchor>
    <xdr:from>
      <xdr:col>7</xdr:col>
      <xdr:colOff>72792</xdr:colOff>
      <xdr:row>0</xdr:row>
      <xdr:rowOff>84520</xdr:rowOff>
    </xdr:from>
    <xdr:to>
      <xdr:col>7</xdr:col>
      <xdr:colOff>1251852</xdr:colOff>
      <xdr:row>2</xdr:row>
      <xdr:rowOff>31180</xdr:rowOff>
    </xdr:to>
    <xdr:sp macro="[0]!versLivraison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7F6C1207-BC87-492A-959D-019A3CE0B66B}"/>
            </a:ext>
          </a:extLst>
        </xdr:cNvPr>
        <xdr:cNvSpPr/>
      </xdr:nvSpPr>
      <xdr:spPr>
        <a:xfrm>
          <a:off x="6044967" y="84520"/>
          <a:ext cx="1179060" cy="30861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Livraison</a:t>
          </a:r>
        </a:p>
      </xdr:txBody>
    </xdr:sp>
    <xdr:clientData/>
  </xdr:twoCellAnchor>
  <xdr:twoCellAnchor>
    <xdr:from>
      <xdr:col>7</xdr:col>
      <xdr:colOff>1278456</xdr:colOff>
      <xdr:row>0</xdr:row>
      <xdr:rowOff>84520</xdr:rowOff>
    </xdr:from>
    <xdr:to>
      <xdr:col>8</xdr:col>
      <xdr:colOff>819216</xdr:colOff>
      <xdr:row>2</xdr:row>
      <xdr:rowOff>31180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B51929A3-4684-4786-80B9-C0A1FB746C2C}"/>
            </a:ext>
          </a:extLst>
        </xdr:cNvPr>
        <xdr:cNvSpPr/>
      </xdr:nvSpPr>
      <xdr:spPr>
        <a:xfrm>
          <a:off x="7250631" y="84520"/>
          <a:ext cx="845685" cy="308610"/>
        </a:xfrm>
        <a:prstGeom prst="roundRect">
          <a:avLst/>
        </a:prstGeom>
        <a:solidFill>
          <a:srgbClr val="EDF3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200" b="0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Facture</a:t>
          </a:r>
        </a:p>
      </xdr:txBody>
    </xdr:sp>
    <xdr:clientData/>
  </xdr:twoCellAnchor>
  <xdr:twoCellAnchor>
    <xdr:from>
      <xdr:col>0</xdr:col>
      <xdr:colOff>0</xdr:colOff>
      <xdr:row>2</xdr:row>
      <xdr:rowOff>131871</xdr:rowOff>
    </xdr:from>
    <xdr:to>
      <xdr:col>16</xdr:col>
      <xdr:colOff>1623060</xdr:colOff>
      <xdr:row>2</xdr:row>
      <xdr:rowOff>131871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824072EB-BB97-491F-94D5-123C3B4010DC}"/>
            </a:ext>
          </a:extLst>
        </xdr:cNvPr>
        <xdr:cNvCxnSpPr/>
      </xdr:nvCxnSpPr>
      <xdr:spPr>
        <a:xfrm>
          <a:off x="0" y="493821"/>
          <a:ext cx="1621536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396240</xdr:colOff>
      <xdr:row>0</xdr:row>
      <xdr:rowOff>66675</xdr:rowOff>
    </xdr:from>
    <xdr:to>
      <xdr:col>4</xdr:col>
      <xdr:colOff>967740</xdr:colOff>
      <xdr:row>2</xdr:row>
      <xdr:rowOff>43266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DBB9DA2E-6FC0-4F62-AFE7-9E60979F235A}"/>
            </a:ext>
          </a:extLst>
        </xdr:cNvPr>
        <xdr:cNvGrpSpPr/>
      </xdr:nvGrpSpPr>
      <xdr:grpSpPr>
        <a:xfrm>
          <a:off x="1005840" y="66675"/>
          <a:ext cx="1838325" cy="338541"/>
          <a:chOff x="1005840" y="66675"/>
          <a:chExt cx="1838325" cy="338541"/>
        </a:xfrm>
      </xdr:grpSpPr>
      <xdr:sp macro="[0]!versDashboard" textlink="Parameters!E9">
        <xdr:nvSpPr>
          <xdr:cNvPr id="9" name="Rectangle : coins arrondis 8">
            <a:extLst>
              <a:ext uri="{FF2B5EF4-FFF2-40B4-BE49-F238E27FC236}">
                <a16:creationId xmlns:a16="http://schemas.microsoft.com/office/drawing/2014/main" id="{C4A02A8B-4D68-4F37-89A2-F2D7B2439252}"/>
              </a:ext>
            </a:extLst>
          </xdr:cNvPr>
          <xdr:cNvSpPr/>
        </xdr:nvSpPr>
        <xdr:spPr>
          <a:xfrm>
            <a:off x="1371600" y="84520"/>
            <a:ext cx="1472565" cy="30861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557EE984-606F-4DB9-AD3F-1CEFF0B4DA62}" type="TxLink">
              <a:rPr lang="en-US" sz="1400" b="1" i="0" u="none" strike="noStrike">
                <a:solidFill>
                  <a:srgbClr val="464F5F"/>
                </a:solidFill>
                <a:latin typeface="Montserrat"/>
                <a:ea typeface="Open Sans SemiBold" panose="020B0706030804020204" pitchFamily="34" charset="0"/>
                <a:cs typeface="Open Sans SemiBold" panose="020B0706030804020204" pitchFamily="34" charset="0"/>
              </a:rPr>
              <a:pPr algn="l"/>
              <a:t>MouloloEden</a:t>
            </a:fld>
            <a:endParaRPr lang="fr-FR" sz="1400" b="1">
              <a:solidFill>
                <a:srgbClr val="131524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endParaRPr>
          </a:p>
        </xdr:txBody>
      </xdr:sp>
      <xdr:pic macro="[0]!versDashboard">
        <xdr:nvPicPr>
          <xdr:cNvPr id="11" name="Image 10">
            <a:extLst>
              <a:ext uri="{FF2B5EF4-FFF2-40B4-BE49-F238E27FC236}">
                <a16:creationId xmlns:a16="http://schemas.microsoft.com/office/drawing/2014/main" id="{36868471-AB6F-4F18-9673-FDBC54591D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5840" y="66675"/>
            <a:ext cx="394335" cy="338541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988695</xdr:colOff>
      <xdr:row>0</xdr:row>
      <xdr:rowOff>111850</xdr:rowOff>
    </xdr:from>
    <xdr:to>
      <xdr:col>10</xdr:col>
      <xdr:colOff>1240695</xdr:colOff>
      <xdr:row>1</xdr:row>
      <xdr:rowOff>179065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209A9BB2-6856-48B6-ADA1-2FED6DCCF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6220" y="111850"/>
          <a:ext cx="252000" cy="248190"/>
        </a:xfrm>
        <a:prstGeom prst="rect">
          <a:avLst/>
        </a:prstGeom>
      </xdr:spPr>
    </xdr:pic>
    <xdr:clientData/>
  </xdr:twoCellAnchor>
  <xdr:twoCellAnchor editAs="oneCell">
    <xdr:from>
      <xdr:col>10</xdr:col>
      <xdr:colOff>437655</xdr:colOff>
      <xdr:row>0</xdr:row>
      <xdr:rowOff>111850</xdr:rowOff>
    </xdr:from>
    <xdr:to>
      <xdr:col>10</xdr:col>
      <xdr:colOff>689655</xdr:colOff>
      <xdr:row>1</xdr:row>
      <xdr:rowOff>179065</xdr:rowOff>
    </xdr:to>
    <xdr:pic macro="[0]!versParamètre">
      <xdr:nvPicPr>
        <xdr:cNvPr id="13" name="Image 12">
          <a:extLst>
            <a:ext uri="{FF2B5EF4-FFF2-40B4-BE49-F238E27FC236}">
              <a16:creationId xmlns:a16="http://schemas.microsoft.com/office/drawing/2014/main" id="{A468F810-05B7-4021-8451-C7A8ADFD29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15180" y="111850"/>
          <a:ext cx="252000" cy="248190"/>
        </a:xfrm>
        <a:prstGeom prst="rect">
          <a:avLst/>
        </a:prstGeom>
      </xdr:spPr>
    </xdr:pic>
    <xdr:clientData/>
  </xdr:twoCellAnchor>
  <xdr:twoCellAnchor>
    <xdr:from>
      <xdr:col>1</xdr:col>
      <xdr:colOff>542925</xdr:colOff>
      <xdr:row>5</xdr:row>
      <xdr:rowOff>103296</xdr:rowOff>
    </xdr:from>
    <xdr:to>
      <xdr:col>11</xdr:col>
      <xdr:colOff>388500</xdr:colOff>
      <xdr:row>5</xdr:row>
      <xdr:rowOff>103296</xdr:rowOff>
    </xdr:to>
    <xdr:cxnSp macro="">
      <xdr:nvCxnSpPr>
        <xdr:cNvPr id="14" name="Connecteur droit 13">
          <a:extLst>
            <a:ext uri="{FF2B5EF4-FFF2-40B4-BE49-F238E27FC236}">
              <a16:creationId xmlns:a16="http://schemas.microsoft.com/office/drawing/2014/main" id="{3255227C-B558-4782-B258-9F1A22D829B5}"/>
            </a:ext>
          </a:extLst>
        </xdr:cNvPr>
        <xdr:cNvCxnSpPr/>
      </xdr:nvCxnSpPr>
      <xdr:spPr>
        <a:xfrm>
          <a:off x="1152525" y="960546"/>
          <a:ext cx="1162800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481965</xdr:colOff>
      <xdr:row>3</xdr:row>
      <xdr:rowOff>113095</xdr:rowOff>
    </xdr:from>
    <xdr:to>
      <xdr:col>4</xdr:col>
      <xdr:colOff>291330</xdr:colOff>
      <xdr:row>5</xdr:row>
      <xdr:rowOff>59755</xdr:rowOff>
    </xdr:to>
    <xdr:sp macro="[0]!versCreation" textlink="">
      <xdr:nvSpPr>
        <xdr:cNvPr id="15" name="Rectangle : coins arrondis 14">
          <a:extLst>
            <a:ext uri="{FF2B5EF4-FFF2-40B4-BE49-F238E27FC236}">
              <a16:creationId xmlns:a16="http://schemas.microsoft.com/office/drawing/2014/main" id="{69C89425-573D-4101-B7D8-574FC2A96254}"/>
            </a:ext>
          </a:extLst>
        </xdr:cNvPr>
        <xdr:cNvSpPr/>
      </xdr:nvSpPr>
      <xdr:spPr>
        <a:xfrm>
          <a:off x="1091565" y="608395"/>
          <a:ext cx="1076190" cy="30861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chemeClr val="tx1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Création</a:t>
          </a:r>
        </a:p>
      </xdr:txBody>
    </xdr:sp>
    <xdr:clientData/>
  </xdr:twoCellAnchor>
  <xdr:twoCellAnchor>
    <xdr:from>
      <xdr:col>4</xdr:col>
      <xdr:colOff>386714</xdr:colOff>
      <xdr:row>3</xdr:row>
      <xdr:rowOff>113095</xdr:rowOff>
    </xdr:from>
    <xdr:to>
      <xdr:col>5</xdr:col>
      <xdr:colOff>342899</xdr:colOff>
      <xdr:row>5</xdr:row>
      <xdr:rowOff>59755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A62B3576-39EE-463A-A735-E70C80291934}"/>
            </a:ext>
          </a:extLst>
        </xdr:cNvPr>
        <xdr:cNvSpPr/>
      </xdr:nvSpPr>
      <xdr:spPr>
        <a:xfrm>
          <a:off x="2263139" y="608395"/>
          <a:ext cx="1423035" cy="30861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200" b="0">
              <a:solidFill>
                <a:srgbClr val="3C41CD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Liste des factures</a:t>
          </a:r>
        </a:p>
      </xdr:txBody>
    </xdr:sp>
    <xdr:clientData/>
  </xdr:twoCellAnchor>
  <xdr:twoCellAnchor>
    <xdr:from>
      <xdr:col>4</xdr:col>
      <xdr:colOff>504825</xdr:colOff>
      <xdr:row>5</xdr:row>
      <xdr:rowOff>103296</xdr:rowOff>
    </xdr:from>
    <xdr:to>
      <xdr:col>5</xdr:col>
      <xdr:colOff>261975</xdr:colOff>
      <xdr:row>5</xdr:row>
      <xdr:rowOff>103296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D1D9156F-0D6B-433B-A1FF-375C98C6026E}"/>
            </a:ext>
          </a:extLst>
        </xdr:cNvPr>
        <xdr:cNvCxnSpPr/>
      </xdr:nvCxnSpPr>
      <xdr:spPr>
        <a:xfrm>
          <a:off x="2381250" y="960546"/>
          <a:ext cx="1224000" cy="0"/>
        </a:xfrm>
        <a:prstGeom prst="line">
          <a:avLst/>
        </a:prstGeom>
        <a:ln w="19050"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952500</xdr:colOff>
      <xdr:row>0</xdr:row>
      <xdr:rowOff>99060</xdr:rowOff>
    </xdr:from>
    <xdr:to>
      <xdr:col>11</xdr:col>
      <xdr:colOff>1204500</xdr:colOff>
      <xdr:row>1</xdr:row>
      <xdr:rowOff>168180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9620" y="99060"/>
          <a:ext cx="252000" cy="252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1401</xdr:rowOff>
    </xdr:from>
    <xdr:to>
      <xdr:col>26</xdr:col>
      <xdr:colOff>403860</xdr:colOff>
      <xdr:row>3</xdr:row>
      <xdr:rowOff>1401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CxnSpPr/>
      </xdr:nvCxnSpPr>
      <xdr:spPr>
        <a:xfrm>
          <a:off x="0" y="504321"/>
          <a:ext cx="1645158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</xdr:colOff>
      <xdr:row>2</xdr:row>
      <xdr:rowOff>133507</xdr:rowOff>
    </xdr:from>
    <xdr:to>
      <xdr:col>18</xdr:col>
      <xdr:colOff>548640</xdr:colOff>
      <xdr:row>2</xdr:row>
      <xdr:rowOff>133507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CxnSpPr/>
      </xdr:nvCxnSpPr>
      <xdr:spPr>
        <a:xfrm>
          <a:off x="7620" y="499267"/>
          <a:ext cx="16451580" cy="0"/>
        </a:xfrm>
        <a:prstGeom prst="line">
          <a:avLst/>
        </a:prstGeom>
        <a:ln w="19050">
          <a:solidFill>
            <a:srgbClr val="DEDEE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1363980</xdr:colOff>
      <xdr:row>0</xdr:row>
      <xdr:rowOff>79466</xdr:rowOff>
    </xdr:from>
    <xdr:to>
      <xdr:col>4</xdr:col>
      <xdr:colOff>721860</xdr:colOff>
      <xdr:row>2</xdr:row>
      <xdr:rowOff>26126</xdr:rowOff>
    </xdr:to>
    <xdr:sp macro="[0]!versDashboard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2910840" y="79466"/>
          <a:ext cx="10800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Dashboard</a:t>
          </a:r>
        </a:p>
      </xdr:txBody>
    </xdr:sp>
    <xdr:clientData/>
  </xdr:twoCellAnchor>
  <xdr:twoCellAnchor>
    <xdr:from>
      <xdr:col>4</xdr:col>
      <xdr:colOff>747564</xdr:colOff>
      <xdr:row>0</xdr:row>
      <xdr:rowOff>79466</xdr:rowOff>
    </xdr:from>
    <xdr:to>
      <xdr:col>5</xdr:col>
      <xdr:colOff>585504</xdr:colOff>
      <xdr:row>2</xdr:row>
      <xdr:rowOff>26126</xdr:rowOff>
    </xdr:to>
    <xdr:sp macro="[0]!versDevis" textlink="">
      <xdr:nvSpPr>
        <xdr:cNvPr id="15" name="Rectangle : coins arrondis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4016544" y="79466"/>
          <a:ext cx="10800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Devis</a:t>
          </a:r>
        </a:p>
      </xdr:txBody>
    </xdr:sp>
    <xdr:clientData/>
  </xdr:twoCellAnchor>
  <xdr:twoCellAnchor>
    <xdr:from>
      <xdr:col>5</xdr:col>
      <xdr:colOff>612108</xdr:colOff>
      <xdr:row>0</xdr:row>
      <xdr:rowOff>79466</xdr:rowOff>
    </xdr:from>
    <xdr:to>
      <xdr:col>7</xdr:col>
      <xdr:colOff>30948</xdr:colOff>
      <xdr:row>2</xdr:row>
      <xdr:rowOff>26126</xdr:rowOff>
    </xdr:to>
    <xdr:sp macro="[0]!versCommande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5123148" y="79466"/>
          <a:ext cx="10800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Commande</a:t>
          </a:r>
        </a:p>
      </xdr:txBody>
    </xdr:sp>
    <xdr:clientData/>
  </xdr:twoCellAnchor>
  <xdr:twoCellAnchor>
    <xdr:from>
      <xdr:col>7</xdr:col>
      <xdr:colOff>57552</xdr:colOff>
      <xdr:row>0</xdr:row>
      <xdr:rowOff>79466</xdr:rowOff>
    </xdr:from>
    <xdr:to>
      <xdr:col>9</xdr:col>
      <xdr:colOff>329832</xdr:colOff>
      <xdr:row>2</xdr:row>
      <xdr:rowOff>26126</xdr:rowOff>
    </xdr:to>
    <xdr:sp macro="[0]!versLivraison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6229752" y="79466"/>
          <a:ext cx="10800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Livraision</a:t>
          </a:r>
        </a:p>
      </xdr:txBody>
    </xdr:sp>
    <xdr:clientData/>
  </xdr:twoCellAnchor>
  <xdr:twoCellAnchor>
    <xdr:from>
      <xdr:col>9</xdr:col>
      <xdr:colOff>356436</xdr:colOff>
      <xdr:row>0</xdr:row>
      <xdr:rowOff>79466</xdr:rowOff>
    </xdr:from>
    <xdr:to>
      <xdr:col>9</xdr:col>
      <xdr:colOff>1436436</xdr:colOff>
      <xdr:row>2</xdr:row>
      <xdr:rowOff>26126</xdr:rowOff>
    </xdr:to>
    <xdr:sp macro="[0]!versFacture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7336356" y="79466"/>
          <a:ext cx="10800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0">
              <a:solidFill>
                <a:srgbClr val="464F5F"/>
              </a:solidFill>
              <a:latin typeface="Open Sans SemiBold" panose="020B0706030804020204" pitchFamily="34" charset="0"/>
              <a:ea typeface="Open Sans SemiBold" panose="020B0706030804020204" pitchFamily="34" charset="0"/>
              <a:cs typeface="Open Sans SemiBold" panose="020B0706030804020204" pitchFamily="34" charset="0"/>
            </a:rPr>
            <a:t>Facture</a:t>
          </a:r>
        </a:p>
      </xdr:txBody>
    </xdr:sp>
    <xdr:clientData/>
  </xdr:twoCellAnchor>
  <xdr:twoCellAnchor>
    <xdr:from>
      <xdr:col>2</xdr:col>
      <xdr:colOff>53340</xdr:colOff>
      <xdr:row>0</xdr:row>
      <xdr:rowOff>71846</xdr:rowOff>
    </xdr:from>
    <xdr:to>
      <xdr:col>3</xdr:col>
      <xdr:colOff>1516380</xdr:colOff>
      <xdr:row>2</xdr:row>
      <xdr:rowOff>18506</xdr:rowOff>
    </xdr:to>
    <xdr:sp macro="" textlink="$E$9">
      <xdr:nvSpPr>
        <xdr:cNvPr id="19" name="Rectangle : coins arrondis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1272540" y="71846"/>
          <a:ext cx="1790700" cy="3124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EE1FB791-67ED-4251-9785-476667B6B1EF}" type="TxLink">
            <a:rPr lang="en-US" sz="1400" b="1" i="0" u="none" strike="noStrike">
              <a:solidFill>
                <a:srgbClr val="464F5F"/>
              </a:solidFill>
              <a:latin typeface="Montserrat"/>
              <a:ea typeface="Open Sans SemiBold" panose="020B0706030804020204" pitchFamily="34" charset="0"/>
              <a:cs typeface="Open Sans SemiBold" panose="020B0706030804020204" pitchFamily="34" charset="0"/>
            </a:rPr>
            <a:pPr algn="l"/>
            <a:t>MouloloEden</a:t>
          </a:fld>
          <a:endParaRPr lang="fr-FR" sz="1400" b="1">
            <a:solidFill>
              <a:srgbClr val="131524"/>
            </a:solidFill>
            <a:latin typeface="Open Sans SemiBold" panose="020B0706030804020204" pitchFamily="34" charset="0"/>
            <a:ea typeface="Open Sans SemiBold" panose="020B0706030804020204" pitchFamily="34" charset="0"/>
            <a:cs typeface="Open Sans SemiBold" panose="020B0706030804020204" pitchFamily="34" charset="0"/>
          </a:endParaRPr>
        </a:p>
      </xdr:txBody>
    </xdr:sp>
    <xdr:clientData/>
  </xdr:twoCellAnchor>
  <xdr:twoCellAnchor editAs="oneCell">
    <xdr:from>
      <xdr:col>12</xdr:col>
      <xdr:colOff>213360</xdr:colOff>
      <xdr:row>0</xdr:row>
      <xdr:rowOff>108701</xdr:rowOff>
    </xdr:from>
    <xdr:to>
      <xdr:col>13</xdr:col>
      <xdr:colOff>137700</xdr:colOff>
      <xdr:row>1</xdr:row>
      <xdr:rowOff>177821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48260" y="108701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350521</xdr:colOff>
      <xdr:row>0</xdr:row>
      <xdr:rowOff>68580</xdr:rowOff>
    </xdr:from>
    <xdr:to>
      <xdr:col>2</xdr:col>
      <xdr:colOff>137161</xdr:colOff>
      <xdr:row>2</xdr:row>
      <xdr:rowOff>45171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0121" y="68580"/>
          <a:ext cx="396240" cy="34235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ULOLO" refreshedDate="45613.733835879633" createdVersion="6" refreshedVersion="6" minRefreshableVersion="3" recordCount="75" xr:uid="{0A237048-D428-422F-8790-41A865B23470}">
  <cacheSource type="worksheet">
    <worksheetSource name="Tableau5"/>
  </cacheSource>
  <cacheFields count="9">
    <cacheField name="N° FACTURE" numFmtId="0">
      <sharedItems/>
    </cacheField>
    <cacheField name="DATE" numFmtId="14">
      <sharedItems containsSemiMixedTypes="0" containsNonDate="0" containsDate="1" containsString="0" minDate="2021-08-16T00:00:00" maxDate="2024-11-18T00:00:00" count="28">
        <d v="2024-11-17T00:00:00"/>
        <d v="2024-11-16T00:00:00"/>
        <d v="2022-07-23T00:00:00"/>
        <d v="2022-07-07T00:00:00"/>
        <d v="2022-07-06T00:00:00"/>
        <d v="2022-07-03T00:00:00"/>
        <d v="2022-06-27T00:00:00"/>
        <d v="2022-06-11T00:00:00"/>
        <d v="2022-05-21T00:00:00"/>
        <d v="2022-05-05T00:00:00"/>
        <d v="2022-04-18T00:00:00"/>
        <d v="2022-04-11T00:00:00"/>
        <d v="2022-03-22T00:00:00"/>
        <d v="2022-03-18T00:00:00"/>
        <d v="2022-03-09T00:00:00"/>
        <d v="2022-02-03T00:00:00"/>
        <d v="2022-01-24T00:00:00"/>
        <d v="2022-01-04T00:00:00"/>
        <d v="2021-12-29T00:00:00"/>
        <d v="2021-11-21T00:00:00"/>
        <d v="2021-11-02T00:00:00"/>
        <d v="2021-10-26T00:00:00"/>
        <d v="2021-10-14T00:00:00"/>
        <d v="2021-10-04T00:00:00"/>
        <d v="2021-09-23T00:00:00"/>
        <d v="2021-09-21T00:00:00"/>
        <d v="2021-09-16T00:00:00"/>
        <d v="2021-08-16T00:00:00"/>
      </sharedItems>
      <fieldGroup par="8" base="1">
        <rangePr groupBy="months" startDate="2021-08-16T00:00:00" endDate="2024-11-18T00:00:00"/>
        <groupItems count="14">
          <s v="&lt;16/08/2021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18/11/2024"/>
        </groupItems>
      </fieldGroup>
    </cacheField>
    <cacheField name="CLIENT" numFmtId="0">
      <sharedItems count="24">
        <s v="Laurianne Fleur"/>
        <s v="Emmanuel Collin"/>
        <s v="Olivier Jean-Louis"/>
        <s v="Pauline Lamothe"/>
        <s v="Eddy Luckecy"/>
        <s v="Emmanuel Edgardo"/>
        <s v="Mathieu Bernard "/>
        <s v="Magalie Harold"/>
        <s v="Gérard Monrosty"/>
        <s v="Andreas Pierre"/>
        <s v="Guillaum Thimothe"/>
        <s v="Raymond Dupiton"/>
        <s v="Gracia Cestin"/>
        <s v="Richard Risler"/>
        <s v="Daniel Alexandre"/>
        <s v="Dieuper Boudam"/>
        <s v="Monique Pierre"/>
        <s v="Roland Dely"/>
        <s v="Mathias Mueller"/>
        <s v="Jean Jacques"/>
        <s v="Anne Marie Marquant"/>
        <s v="Senophat Benjamin"/>
        <s v="Louinord Joseph"/>
        <s v="Fedline Joseph"/>
      </sharedItems>
    </cacheField>
    <cacheField name="MONTANT TTC" numFmtId="165">
      <sharedItems containsSemiMixedTypes="0" containsString="0" containsNumber="1" minValue="237.6" maxValue="10648.8"/>
    </cacheField>
    <cacheField name="ETAT DE PAIEMENT" numFmtId="0">
      <sharedItems count="2">
        <s v="Impayée"/>
        <s v="Payée"/>
      </sharedItems>
    </cacheField>
    <cacheField name="MODE DE PAIEMENT" numFmtId="0">
      <sharedItems containsBlank="1" count="4">
        <m/>
        <s v="Espèce"/>
        <s v="Carte Bancaire"/>
        <s v="Chèque"/>
      </sharedItems>
    </cacheField>
    <cacheField name="DOCUMENT" numFmtId="0">
      <sharedItems/>
    </cacheField>
    <cacheField name="Trimestres" numFmtId="0" databaseField="0">
      <fieldGroup base="1">
        <rangePr groupBy="quarters" startDate="2021-08-16T00:00:00" endDate="2024-11-18T00:00:00"/>
        <groupItems count="6">
          <s v="&lt;16/08/2021"/>
          <s v="Trimestre1"/>
          <s v="Trimestre2"/>
          <s v="Trimestre3"/>
          <s v="Trimestre4"/>
          <s v="&gt;18/11/2024"/>
        </groupItems>
      </fieldGroup>
    </cacheField>
    <cacheField name="Années" numFmtId="0" databaseField="0">
      <fieldGroup base="1">
        <rangePr groupBy="years" startDate="2021-08-16T00:00:00" endDate="2024-11-18T00:00:00"/>
        <groupItems count="6">
          <s v="&lt;16/08/2021"/>
          <s v="2021"/>
          <s v="2022"/>
          <s v="2023"/>
          <s v="2024"/>
          <s v="&gt;18/11/2024"/>
        </groupItems>
      </fieldGroup>
    </cacheField>
  </cacheFields>
  <extLst>
    <ext xmlns:x14="http://schemas.microsoft.com/office/spreadsheetml/2009/9/main" uri="{725AE2AE-9491-48be-B2B4-4EB974FC3084}">
      <x14:pivotCacheDefinition pivotCacheId="19768946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">
  <r>
    <s v="F2024-11-0012"/>
    <x v="0"/>
    <x v="0"/>
    <n v="1856.4"/>
    <x v="0"/>
    <x v="0"/>
    <s v="Consulter"/>
  </r>
  <r>
    <s v="F2024-11-0011"/>
    <x v="0"/>
    <x v="1"/>
    <n v="536.4"/>
    <x v="0"/>
    <x v="0"/>
    <s v="Consulter"/>
  </r>
  <r>
    <s v="F2024-11-0010"/>
    <x v="0"/>
    <x v="2"/>
    <n v="2582.4"/>
    <x v="0"/>
    <x v="0"/>
    <s v="Consulter"/>
  </r>
  <r>
    <s v="F2024-11-0009"/>
    <x v="0"/>
    <x v="2"/>
    <n v="1291.2"/>
    <x v="1"/>
    <x v="1"/>
    <s v="Consulter"/>
  </r>
  <r>
    <s v="F2024-11-0008"/>
    <x v="0"/>
    <x v="3"/>
    <n v="1291.2"/>
    <x v="0"/>
    <x v="0"/>
    <s v="Consulter"/>
  </r>
  <r>
    <s v="F2024-11-0007"/>
    <x v="0"/>
    <x v="4"/>
    <n v="10432.799999999999"/>
    <x v="1"/>
    <x v="2"/>
    <s v="Consulter"/>
  </r>
  <r>
    <s v="F2024-11-0005"/>
    <x v="1"/>
    <x v="2"/>
    <n v="10648.8"/>
    <x v="0"/>
    <x v="0"/>
    <s v="Consulter"/>
  </r>
  <r>
    <s v="F2024-11-0004"/>
    <x v="1"/>
    <x v="0"/>
    <n v="6516"/>
    <x v="0"/>
    <x v="0"/>
    <s v="Consulter"/>
  </r>
  <r>
    <s v="F2024-11-0003"/>
    <x v="1"/>
    <x v="5"/>
    <n v="1626"/>
    <x v="1"/>
    <x v="3"/>
    <s v="Consulter"/>
  </r>
  <r>
    <s v="F2024-11-0002"/>
    <x v="1"/>
    <x v="6"/>
    <n v="6890.4"/>
    <x v="0"/>
    <x v="0"/>
    <s v="Consulter"/>
  </r>
  <r>
    <s v="F2024-11-0001"/>
    <x v="1"/>
    <x v="7"/>
    <n v="3424.8"/>
    <x v="0"/>
    <x v="0"/>
    <s v="Consulter"/>
  </r>
  <r>
    <s v="F2024-11-0009"/>
    <x v="1"/>
    <x v="7"/>
    <n v="3424.8"/>
    <x v="1"/>
    <x v="2"/>
    <s v="Consulter"/>
  </r>
  <r>
    <s v="F2024-11-0008"/>
    <x v="1"/>
    <x v="8"/>
    <n v="680.4"/>
    <x v="0"/>
    <x v="0"/>
    <s v="Consulter"/>
  </r>
  <r>
    <s v="F2024-11-0007"/>
    <x v="1"/>
    <x v="9"/>
    <n v="6684"/>
    <x v="1"/>
    <x v="1"/>
    <s v="Consulter"/>
  </r>
  <r>
    <s v="F2024-11-0006"/>
    <x v="1"/>
    <x v="10"/>
    <n v="7304.4"/>
    <x v="0"/>
    <x v="0"/>
    <s v="Consulter"/>
  </r>
  <r>
    <s v="F2024-11-0005"/>
    <x v="1"/>
    <x v="0"/>
    <n v="968.4"/>
    <x v="0"/>
    <x v="0"/>
    <s v="Consulter"/>
  </r>
  <r>
    <s v="F2022-07-0037"/>
    <x v="2"/>
    <x v="6"/>
    <n v="1078.8"/>
    <x v="0"/>
    <x v="0"/>
    <s v="Consulter"/>
  </r>
  <r>
    <s v="F2022-07-0036"/>
    <x v="2"/>
    <x v="5"/>
    <n v="2157.6"/>
    <x v="0"/>
    <x v="0"/>
    <s v="Consulter"/>
  </r>
  <r>
    <s v="F2022-07-0035"/>
    <x v="3"/>
    <x v="11"/>
    <n v="6051.6"/>
    <x v="0"/>
    <x v="0"/>
    <s v="Consulter"/>
  </r>
  <r>
    <s v="F2022-07-0034"/>
    <x v="4"/>
    <x v="5"/>
    <n v="4424.3999999999996"/>
    <x v="0"/>
    <x v="0"/>
    <s v="Consulter"/>
  </r>
  <r>
    <s v="F2022-07-0033"/>
    <x v="5"/>
    <x v="12"/>
    <n v="322.8"/>
    <x v="1"/>
    <x v="1"/>
    <s v="Consulter"/>
  </r>
  <r>
    <s v="F2022-07-0032"/>
    <x v="3"/>
    <x v="13"/>
    <n v="1078.8"/>
    <x v="1"/>
    <x v="3"/>
    <s v="Consulter"/>
  </r>
  <r>
    <s v="F2022-07-0031"/>
    <x v="3"/>
    <x v="4"/>
    <n v="1137.5999999999999"/>
    <x v="1"/>
    <x v="1"/>
    <s v="Consulter"/>
  </r>
  <r>
    <s v="F2022-06-0030"/>
    <x v="6"/>
    <x v="14"/>
    <n v="1198.8"/>
    <x v="0"/>
    <x v="0"/>
    <s v="Consulter"/>
  </r>
  <r>
    <s v="F2022-06-0029"/>
    <x v="6"/>
    <x v="15"/>
    <n v="4312.8"/>
    <x v="1"/>
    <x v="1"/>
    <s v="Consulter"/>
  </r>
  <r>
    <s v="F2022-06-0028"/>
    <x v="7"/>
    <x v="7"/>
    <n v="1101.5999999999999"/>
    <x v="1"/>
    <x v="2"/>
    <s v="Consulter"/>
  </r>
  <r>
    <s v="F2022-06-0027"/>
    <x v="7"/>
    <x v="3"/>
    <n v="5324.4"/>
    <x v="1"/>
    <x v="3"/>
    <s v="Consulter"/>
  </r>
  <r>
    <s v="F2022-06-0026"/>
    <x v="7"/>
    <x v="7"/>
    <n v="712.8"/>
    <x v="0"/>
    <x v="0"/>
    <s v="Consulter"/>
  </r>
  <r>
    <s v="F2022-05-0025"/>
    <x v="8"/>
    <x v="14"/>
    <n v="1078.8"/>
    <x v="1"/>
    <x v="3"/>
    <s v="Consulter"/>
  </r>
  <r>
    <s v="F2022-05-0024"/>
    <x v="8"/>
    <x v="16"/>
    <n v="1893.6"/>
    <x v="1"/>
    <x v="3"/>
    <s v="Consulter"/>
  </r>
  <r>
    <s v="F2022-05-0023"/>
    <x v="8"/>
    <x v="17"/>
    <n v="824.4"/>
    <x v="0"/>
    <x v="0"/>
    <s v="Consulter"/>
  </r>
  <r>
    <s v="F2022-05-0022"/>
    <x v="9"/>
    <x v="0"/>
    <n v="356.4"/>
    <x v="1"/>
    <x v="3"/>
    <s v="Consulter"/>
  </r>
  <r>
    <s v="F2022-05-0021"/>
    <x v="9"/>
    <x v="18"/>
    <n v="968.4"/>
    <x v="1"/>
    <x v="3"/>
    <s v="Consulter"/>
  </r>
  <r>
    <s v="F2022-04-0020"/>
    <x v="10"/>
    <x v="0"/>
    <n v="2157.6"/>
    <x v="0"/>
    <x v="0"/>
    <s v="Consulter"/>
  </r>
  <r>
    <s v="F2022-04-0019"/>
    <x v="11"/>
    <x v="6"/>
    <n v="7909.2"/>
    <x v="1"/>
    <x v="3"/>
    <s v="Consulter"/>
  </r>
  <r>
    <s v="F2022-04-0018"/>
    <x v="11"/>
    <x v="19"/>
    <n v="2349.6"/>
    <x v="0"/>
    <x v="0"/>
    <s v="Consulter"/>
  </r>
  <r>
    <s v="F2022-04-0017"/>
    <x v="11"/>
    <x v="20"/>
    <n v="1774.8"/>
    <x v="1"/>
    <x v="3"/>
    <s v="Consulter"/>
  </r>
  <r>
    <s v="F2022-04-0016"/>
    <x v="11"/>
    <x v="21"/>
    <n v="968.4"/>
    <x v="0"/>
    <x v="0"/>
    <s v="Consulter"/>
  </r>
  <r>
    <s v="F2022-03-0015"/>
    <x v="12"/>
    <x v="8"/>
    <n v="2275.1999999999998"/>
    <x v="1"/>
    <x v="1"/>
    <s v="Consulter"/>
  </r>
  <r>
    <s v="F2022-03-0014"/>
    <x v="13"/>
    <x v="4"/>
    <n v="4208.3999999999996"/>
    <x v="1"/>
    <x v="2"/>
    <s v="Consulter"/>
  </r>
  <r>
    <s v="F2022-03-0013"/>
    <x v="13"/>
    <x v="3"/>
    <n v="3596.4"/>
    <x v="1"/>
    <x v="3"/>
    <s v="Consulter"/>
  </r>
  <r>
    <s v="F2022-03-0012"/>
    <x v="14"/>
    <x v="22"/>
    <n v="2685.6"/>
    <x v="0"/>
    <x v="0"/>
    <s v="Consulter"/>
  </r>
  <r>
    <s v="F2022-03-0011"/>
    <x v="14"/>
    <x v="12"/>
    <n v="1652.4"/>
    <x v="0"/>
    <x v="0"/>
    <s v="Consulter"/>
  </r>
  <r>
    <s v="F2022-02-0010"/>
    <x v="15"/>
    <x v="17"/>
    <n v="4208.3999999999996"/>
    <x v="1"/>
    <x v="1"/>
    <s v="Consulter"/>
  </r>
  <r>
    <s v="F2022-02-0009"/>
    <x v="15"/>
    <x v="23"/>
    <n v="2155.1999999999998"/>
    <x v="1"/>
    <x v="2"/>
    <s v="Consulter"/>
  </r>
  <r>
    <s v="F2022-02-0008"/>
    <x v="15"/>
    <x v="13"/>
    <n v="2840.4"/>
    <x v="0"/>
    <x v="0"/>
    <s v="Consulter"/>
  </r>
  <r>
    <s v="F2022-02-0007"/>
    <x v="15"/>
    <x v="14"/>
    <n v="3596.4"/>
    <x v="1"/>
    <x v="1"/>
    <s v="Consulter"/>
  </r>
  <r>
    <s v="F2022-02-0006"/>
    <x v="15"/>
    <x v="19"/>
    <n v="3236.4"/>
    <x v="0"/>
    <x v="0"/>
    <s v="Consulter"/>
  </r>
  <r>
    <s v="F2022-01-0005"/>
    <x v="16"/>
    <x v="18"/>
    <n v="1194"/>
    <x v="1"/>
    <x v="3"/>
    <s v="Consulter"/>
  </r>
  <r>
    <s v="F2022-01-0004"/>
    <x v="17"/>
    <x v="14"/>
    <n v="1291.2"/>
    <x v="1"/>
    <x v="2"/>
    <s v="Consulter"/>
  </r>
  <r>
    <s v="F2022-01-0003"/>
    <x v="17"/>
    <x v="21"/>
    <n v="2156.4"/>
    <x v="1"/>
    <x v="1"/>
    <s v="Consulter"/>
  </r>
  <r>
    <s v="F2022-01-0002"/>
    <x v="17"/>
    <x v="7"/>
    <n v="1099.2"/>
    <x v="1"/>
    <x v="3"/>
    <s v="Consulter"/>
  </r>
  <r>
    <s v="F2022-01-0001"/>
    <x v="17"/>
    <x v="17"/>
    <n v="2875.2"/>
    <x v="1"/>
    <x v="3"/>
    <s v="Consulter"/>
  </r>
  <r>
    <s v="F2021-12-0025"/>
    <x v="18"/>
    <x v="14"/>
    <n v="950.4"/>
    <x v="1"/>
    <x v="2"/>
    <s v="Consulter"/>
  </r>
  <r>
    <s v="F2021-12-0024"/>
    <x v="18"/>
    <x v="8"/>
    <n v="964.8"/>
    <x v="1"/>
    <x v="1"/>
    <s v="Consulter"/>
  </r>
  <r>
    <s v="F2021-12-0023"/>
    <x v="18"/>
    <x v="0"/>
    <n v="7099.2"/>
    <x v="1"/>
    <x v="2"/>
    <s v="Consulter"/>
  </r>
  <r>
    <s v="F2021-12-0022"/>
    <x v="18"/>
    <x v="2"/>
    <n v="968.4"/>
    <x v="1"/>
    <x v="2"/>
    <s v="Consulter"/>
  </r>
  <r>
    <s v="F2021-11-0021"/>
    <x v="18"/>
    <x v="22"/>
    <n v="2008.8"/>
    <x v="1"/>
    <x v="1"/>
    <s v="Consulter"/>
  </r>
  <r>
    <s v="F2021-11-0020"/>
    <x v="19"/>
    <x v="22"/>
    <n v="1432.8"/>
    <x v="1"/>
    <x v="2"/>
    <s v="Consulter"/>
  </r>
  <r>
    <s v="F2021-11-0019"/>
    <x v="19"/>
    <x v="6"/>
    <n v="7574.4"/>
    <x v="1"/>
    <x v="1"/>
    <s v="Consulter"/>
  </r>
  <r>
    <s v="F2021-11-0018"/>
    <x v="19"/>
    <x v="5"/>
    <n v="3236.4"/>
    <x v="1"/>
    <x v="2"/>
    <s v="Consulter"/>
  </r>
  <r>
    <s v="F2021-11-0018"/>
    <x v="19"/>
    <x v="5"/>
    <n v="3236.4"/>
    <x v="1"/>
    <x v="1"/>
    <s v="Consulter"/>
  </r>
  <r>
    <s v="F2021-11-0017"/>
    <x v="20"/>
    <x v="16"/>
    <n v="2707.2"/>
    <x v="1"/>
    <x v="3"/>
    <s v="Consulter"/>
  </r>
  <r>
    <s v="F2021-10-0016"/>
    <x v="20"/>
    <x v="7"/>
    <n v="3236.4"/>
    <x v="1"/>
    <x v="3"/>
    <s v="Consulter"/>
  </r>
  <r>
    <s v="F2021-10-0015"/>
    <x v="21"/>
    <x v="11"/>
    <n v="1002"/>
    <x v="1"/>
    <x v="1"/>
    <s v="Consulter"/>
  </r>
  <r>
    <s v="F2021-10-0014"/>
    <x v="22"/>
    <x v="16"/>
    <n v="712.8"/>
    <x v="1"/>
    <x v="1"/>
    <s v="Consulter"/>
  </r>
  <r>
    <s v="F2021-10-0013"/>
    <x v="22"/>
    <x v="21"/>
    <n v="1614"/>
    <x v="1"/>
    <x v="2"/>
    <s v="Consulter"/>
  </r>
  <r>
    <s v="F2021-10-0012"/>
    <x v="23"/>
    <x v="7"/>
    <n v="3236.4"/>
    <x v="1"/>
    <x v="3"/>
    <s v="Consulter"/>
  </r>
  <r>
    <s v="F2021-10-0011"/>
    <x v="23"/>
    <x v="13"/>
    <n v="3477.6"/>
    <x v="1"/>
    <x v="2"/>
    <s v="Consulter"/>
  </r>
  <r>
    <s v="F2021-09-0010"/>
    <x v="24"/>
    <x v="0"/>
    <n v="4887.6000000000004"/>
    <x v="1"/>
    <x v="1"/>
    <s v="Consulter"/>
  </r>
  <r>
    <s v="F2021-09-0009"/>
    <x v="24"/>
    <x v="8"/>
    <n v="237.6"/>
    <x v="1"/>
    <x v="2"/>
    <s v="Consulter"/>
  </r>
  <r>
    <s v="F2021-09-0008"/>
    <x v="24"/>
    <x v="9"/>
    <n v="7504.8"/>
    <x v="1"/>
    <x v="1"/>
    <s v="Consulter"/>
  </r>
  <r>
    <s v="F2021-09-0007"/>
    <x v="25"/>
    <x v="9"/>
    <n v="2155.1999999999998"/>
    <x v="1"/>
    <x v="2"/>
    <s v="Consulter"/>
  </r>
  <r>
    <s v="F2021-09-0006"/>
    <x v="26"/>
    <x v="11"/>
    <n v="3776.4"/>
    <x v="1"/>
    <x v="3"/>
    <s v="Consulter"/>
  </r>
  <r>
    <s v="F2021-08-0005"/>
    <x v="27"/>
    <x v="14"/>
    <n v="2995.2"/>
    <x v="1"/>
    <x v="1"/>
    <s v="Consulte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F7F017-3D21-4767-B732-D8B50F2473BB}" name="Tendance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4">
  <location ref="F12:H25" firstHeaderRow="0" firstDataRow="1" firstDataCol="1"/>
  <pivotFields count="9"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dataField="1" numFmtId="165" showAll="0"/>
    <pivotField showAll="0"/>
    <pivotField showAll="0"/>
    <pivotField showAll="0"/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</pivotFields>
  <rowFields count="1">
    <field x="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MONTANT TTC" fld="3" baseField="0" baseItem="0"/>
    <dataField name="Somme de MONTANT TTC2" fld="3" baseField="0" baseItem="0"/>
  </dataFields>
  <formats count="1">
    <format dxfId="60">
      <pivotArea outline="0" collapsedLevelsAreSubtotals="1" fieldPosition="0"/>
    </format>
  </formats>
  <chartFormats count="6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7DF25B-5E93-45DB-BCFA-CB243397E663}" name="Tableau croisé dynamique4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9:C26" firstHeaderRow="1" firstDataRow="1" firstDataCol="0"/>
  <pivotFields count="9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numFmtId="165" showAll="0"/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1BB743-FE61-4777-B9FB-76883E1E5AA9}" name="CATypePaiement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4">
  <location ref="F34:G38" firstHeaderRow="1" firstDataRow="1" firstDataCol="1"/>
  <pivotFields count="9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dataField="1" numFmtId="165" showAll="0"/>
    <pivotField showAll="0"/>
    <pivotField axis="axisRow" showAll="0">
      <items count="5">
        <item x="2"/>
        <item x="3"/>
        <item x="1"/>
        <item h="1" x="0"/>
        <item t="default"/>
      </items>
    </pivotField>
    <pivotField showAl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5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me de MONTANT TTC" fld="3" showDataAs="percentOfTotal" baseField="5" baseItem="0" numFmtId="10"/>
  </dataFields>
  <formats count="2">
    <format dxfId="62">
      <pivotArea collapsedLevelsAreSubtotals="1" fieldPosition="0">
        <references count="1">
          <reference field="5" count="0"/>
        </references>
      </pivotArea>
    </format>
    <format dxfId="61">
      <pivotArea grandRow="1" outline="0" collapsedLevelsAreSubtotals="1" fieldPosition="0"/>
    </format>
  </formats>
  <chartFormats count="1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078714-02B3-4C18-ACED-D12CD5A8CA4C}" name="CA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1:A2" firstHeaderRow="1" firstDataRow="1" firstDataCol="0"/>
  <pivotFields count="9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dataField="1" numFmtId="165" showAll="0"/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Items count="1">
    <i/>
  </rowItems>
  <colItems count="1">
    <i/>
  </colItems>
  <dataFields count="1">
    <dataField name="Somme de MONTANT TTC" fld="3" baseField="0" baseItem="0" numFmtId="166"/>
  </dataFields>
  <formats count="1">
    <format dxfId="6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66EA23-2012-4C31-B529-BE3CAEF72A20}" name="CAEtat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4">
  <location ref="F28:G31" firstHeaderRow="1" firstDataRow="1" firstDataCol="1"/>
  <pivotFields count="9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dataField="1" numFmtId="165" showAll="0"/>
    <pivotField axis="axisRow" showAll="0">
      <items count="3">
        <item x="0"/>
        <item x="1"/>
        <item t="default"/>
      </items>
    </pivotField>
    <pivotField showAll="0"/>
    <pivotField showAl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Somme de MONTANT TTC" fld="3" showDataAs="percentOfTotal" baseField="4" baseItem="0" numFmtId="10"/>
  </dataFields>
  <formats count="2">
    <format dxfId="65">
      <pivotArea collapsedLevelsAreSubtotals="1" fieldPosition="0">
        <references count="1">
          <reference field="4" count="0"/>
        </references>
      </pivotArea>
    </format>
    <format dxfId="64">
      <pivotArea grandRow="1" outline="0" collapsedLevelsAreSubtotals="1" fieldPosition="0"/>
    </format>
  </formats>
  <chartFormats count="3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11F6C5-7D7D-40CF-B233-5F5170FF47AB}" name="TotalPayée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F3:F4" firstHeaderRow="1" firstDataRow="1" firstDataCol="0" rowPageCount="1" colPageCount="1"/>
  <pivotFields count="9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dataField="1" numFmtId="165" showAll="0"/>
    <pivotField axis="axisPage" showAll="0">
      <items count="3">
        <item x="0"/>
        <item x="1"/>
        <item t="default"/>
      </items>
    </pivotField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Items count="1">
    <i/>
  </rowItems>
  <colItems count="1">
    <i/>
  </colItems>
  <pageFields count="1">
    <pageField fld="4" item="1" hier="-1"/>
  </pageFields>
  <dataFields count="1">
    <dataField name="Somme de MONTANT TTC" fld="3" baseField="0" baseItem="0" numFmtId="166"/>
  </dataFields>
  <formats count="1">
    <format dxfId="6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7D4A9B-7C84-4BDC-97CD-65AC38AF7314}" name="TotalImpayée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J3:J4" firstHeaderRow="1" firstDataRow="1" firstDataCol="0" rowPageCount="1" colPageCount="1"/>
  <pivotFields count="9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dataField="1" numFmtId="165" showAll="0"/>
    <pivotField axis="axisPage" showAll="0">
      <items count="3">
        <item x="0"/>
        <item x="1"/>
        <item t="default"/>
      </items>
    </pivotField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Items count="1">
    <i/>
  </rowItems>
  <colItems count="1">
    <i/>
  </colItems>
  <pageFields count="1">
    <pageField fld="4" item="0" hier="-1"/>
  </pageFields>
  <dataFields count="1">
    <dataField name="Somme de MONTANT TTC" fld="3" baseField="0" baseItem="0" numFmtId="166"/>
  </dataFields>
  <formats count="1">
    <format dxfId="6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FA6BE0-D230-4D02-A26B-84D9DCD998F9}" name="Top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4">
  <location ref="F41:G47" firstHeaderRow="1" firstDataRow="1" firstDataCol="1"/>
  <pivotFields count="9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 measureFilter="1" sortType="ascending">
      <items count="25">
        <item x="9"/>
        <item x="20"/>
        <item x="14"/>
        <item x="15"/>
        <item x="4"/>
        <item x="5"/>
        <item x="23"/>
        <item x="8"/>
        <item x="12"/>
        <item x="10"/>
        <item x="19"/>
        <item x="0"/>
        <item x="22"/>
        <item x="7"/>
        <item x="18"/>
        <item x="6"/>
        <item x="16"/>
        <item x="2"/>
        <item x="3"/>
        <item x="11"/>
        <item x="13"/>
        <item x="17"/>
        <item x="21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5" showAll="0"/>
    <pivotField showAll="0"/>
    <pivotField showAll="0"/>
    <pivotField showAl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2"/>
  </rowFields>
  <rowItems count="6">
    <i>
      <x v="4"/>
    </i>
    <i>
      <x v="13"/>
    </i>
    <i>
      <x/>
    </i>
    <i>
      <x v="15"/>
    </i>
    <i>
      <x v="11"/>
    </i>
    <i t="grand">
      <x/>
    </i>
  </rowItems>
  <colItems count="1">
    <i/>
  </colItems>
  <dataFields count="1">
    <dataField name="Somme de MONTANT TTC" fld="3" baseField="0" baseItem="0"/>
  </dataFields>
  <formats count="1">
    <format dxfId="68">
      <pivotArea collapsedLevelsAreSubtotals="1" fieldPosition="0">
        <references count="1">
          <reference field="2" count="5">
            <x v="0"/>
            <x v="5"/>
            <x v="11"/>
            <x v="13"/>
            <x v="15"/>
          </reference>
        </references>
      </pivotArea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ATE" xr10:uid="{1785F2C8-9A01-49C5-9C9F-4C45EEEA92D2}" sourceName="DATE">
  <pivotTables>
    <pivotTable tabId="9" name="Top"/>
    <pivotTable tabId="9" name="CA"/>
    <pivotTable tabId="9" name="CAEtat"/>
    <pivotTable tabId="9" name="CATypePaiement"/>
    <pivotTable tabId="9" name="Tableau croisé dynamique4"/>
    <pivotTable tabId="9" name="TotalImpayée"/>
    <pivotTable tabId="9" name="TotalPayée"/>
  </pivotTables>
  <data>
    <tabular pivotCacheId="1976894626">
      <items count="14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nnées" xr10:uid="{1334F4E9-3C6D-4867-B1D1-833A712739C3}" sourceName="Années">
  <pivotTables>
    <pivotTable tabId="9" name="CATypePaiement"/>
    <pivotTable tabId="9" name="CA"/>
    <pivotTable tabId="9" name="CAEtat"/>
    <pivotTable tabId="9" name="Tableau croisé dynamique4"/>
    <pivotTable tabId="9" name="Top"/>
    <pivotTable tabId="9" name="TotalImpayée"/>
    <pivotTable tabId="9" name="TotalPayée"/>
  </pivotTables>
  <data>
    <tabular pivotCacheId="1976894626">
      <items count="6">
        <i x="1" s="1"/>
        <i x="2" s="1"/>
        <i x="4" s="1"/>
        <i x="0" s="1" nd="1"/>
        <i x="5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" xr10:uid="{51EADCA9-73C3-4B06-9986-3FE34BF1B743}" cache="Segment_DATE" caption="Mois" columnCount="2" style="Style2" rowHeight="234950"/>
  <slicer name="Années" xr10:uid="{818B6325-5B32-4197-8B36-456D0BE7CB47}" cache="Segment_Années" caption="Années" style="Style2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1628C2E-062D-4C3A-9ABE-BB55F63EE787}" name="Tableau5" displayName="Tableau5" ref="E9:K84" totalsRowShown="0" headerRowDxfId="18" dataDxfId="17">
  <autoFilter ref="E9:K84" xr:uid="{2CA65E0A-BD0D-4F8D-9D94-CEF3F3F60E63}"/>
  <tableColumns count="7">
    <tableColumn id="1" xr3:uid="{BB5E7E4E-2537-41F9-99D5-93C0E37544D2}" name="N° FACTURE" dataDxfId="16"/>
    <tableColumn id="2" xr3:uid="{F91760CB-D5B1-43ED-AEF0-87F1A5FF9679}" name="DATE" dataDxfId="15"/>
    <tableColumn id="3" xr3:uid="{B45D135B-869D-4876-9FD6-97AD7059BA90}" name="CLIENT" dataDxfId="14"/>
    <tableColumn id="4" xr3:uid="{A8BD3763-87A0-458F-AB9E-60551B8DA225}" name="MONTANT TTC" dataDxfId="13"/>
    <tableColumn id="5" xr3:uid="{628D9222-7F6E-44E1-951D-4A5C9EF56C19}" name="ETAT DE PAIEMENT" dataDxfId="12"/>
    <tableColumn id="6" xr3:uid="{3E77281B-EADC-4556-830D-FDB90FE6D625}" name="MODE DE PAIEMENT" dataDxfId="11"/>
    <tableColumn id="7" xr3:uid="{18055694-D97F-4B35-B7E1-9343669E0B6A}" name="DOCUMENT" dataDxfId="10" dataCellStyle="Lien hypertexte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3C9910-E87E-4A6E-B8BA-C23B5BA63711}" name="Produits" displayName="Produits" ref="D20:F43" totalsRowShown="0" headerRowDxfId="9" dataDxfId="8">
  <autoFilter ref="D20:F43" xr:uid="{1D305E6E-AF53-4010-93E2-61CF247F7915}"/>
  <tableColumns count="3">
    <tableColumn id="1" xr3:uid="{F8681989-5A5C-47BF-9210-6EE02A73D591}" name="DÉSIGNATION" dataDxfId="7"/>
    <tableColumn id="2" xr3:uid="{7F0E80DE-BD02-40AB-8042-220EAC67C1F3}" name="RÉFÉRENCE" dataDxfId="6"/>
    <tableColumn id="3" xr3:uid="{459D5C40-262B-44D9-A63D-9797210C41F0}" name="PRIX" dataDxfId="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A30D1D-5B79-4281-98A3-B4CFCB9243E5}" name="Clients" displayName="Clients" ref="J20:L44" totalsRowShown="0" headerRowDxfId="4" dataDxfId="3">
  <autoFilter ref="J20:L44" xr:uid="{493992BA-A15A-4285-BA66-043D1BC7BDEB}"/>
  <tableColumns count="3">
    <tableColumn id="1" xr3:uid="{59BBBDD7-2AEB-4406-96DE-579FECDD47CD}" name="NOM" dataDxfId="2"/>
    <tableColumn id="2" xr3:uid="{FCE8C975-8AB6-4B1D-B252-AFF342EE45B2}" name="ADRESSE" dataDxfId="1"/>
    <tableColumn id="3" xr3:uid="{21ACCF21-5DE6-4610-A45F-E64A01AF46DB}" name="TELEPHON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../../../Documents/Factures/F2022-05-0022.pdf" TargetMode="External"/><Relationship Id="rId21" Type="http://schemas.openxmlformats.org/officeDocument/2006/relationships/hyperlink" Target="../../../Documents/Factures/F2022-06-0027.pdf" TargetMode="External"/><Relationship Id="rId42" Type="http://schemas.openxmlformats.org/officeDocument/2006/relationships/hyperlink" Target="../../../Documents/Factures/F2022-02-0006.pdf" TargetMode="External"/><Relationship Id="rId47" Type="http://schemas.openxmlformats.org/officeDocument/2006/relationships/hyperlink" Target="../../../Documents/Factures/F2022-01-0001.pdf" TargetMode="External"/><Relationship Id="rId63" Type="http://schemas.openxmlformats.org/officeDocument/2006/relationships/hyperlink" Target="../../../Documents/Factures/F2021-10-0012.pdf" TargetMode="External"/><Relationship Id="rId68" Type="http://schemas.openxmlformats.org/officeDocument/2006/relationships/hyperlink" Target="../../../Documents/Factures/F2021-08-0005.pdf" TargetMode="External"/><Relationship Id="rId16" Type="http://schemas.openxmlformats.org/officeDocument/2006/relationships/hyperlink" Target="../../../Documents/Factures/F2022-07-0032.pdf" TargetMode="External"/><Relationship Id="rId11" Type="http://schemas.openxmlformats.org/officeDocument/2006/relationships/hyperlink" Target="../../../../Documents/Factures/F2022-07-0037.pdf" TargetMode="External"/><Relationship Id="rId24" Type="http://schemas.openxmlformats.org/officeDocument/2006/relationships/hyperlink" Target="../../../Documents/Factures/F2022-05-0024.pdf" TargetMode="External"/><Relationship Id="rId32" Type="http://schemas.openxmlformats.org/officeDocument/2006/relationships/hyperlink" Target="../../../Documents/Factures/F2022-04-0016.pdf" TargetMode="External"/><Relationship Id="rId37" Type="http://schemas.openxmlformats.org/officeDocument/2006/relationships/hyperlink" Target="../../../Documents/Factures/F2022-03-0011.pdf" TargetMode="External"/><Relationship Id="rId40" Type="http://schemas.openxmlformats.org/officeDocument/2006/relationships/hyperlink" Target="../../../Documents/Factures/F2022-02-0008.pdf" TargetMode="External"/><Relationship Id="rId45" Type="http://schemas.openxmlformats.org/officeDocument/2006/relationships/hyperlink" Target="../../../Documents/Factures/F2022-01-0003.pdf" TargetMode="External"/><Relationship Id="rId53" Type="http://schemas.openxmlformats.org/officeDocument/2006/relationships/hyperlink" Target="../../../Documents/Factures/F2021-11-0021.pdf" TargetMode="External"/><Relationship Id="rId58" Type="http://schemas.openxmlformats.org/officeDocument/2006/relationships/hyperlink" Target="../../../Documents/Factures/F2021-09-0007.pdf" TargetMode="External"/><Relationship Id="rId66" Type="http://schemas.openxmlformats.org/officeDocument/2006/relationships/hyperlink" Target="../../../Documents/Factures/F2021-10-0015.pdf" TargetMode="External"/><Relationship Id="rId74" Type="http://schemas.openxmlformats.org/officeDocument/2006/relationships/hyperlink" Target="Document/Factures/F2024-11-0011.pdf" TargetMode="External"/><Relationship Id="rId5" Type="http://schemas.openxmlformats.org/officeDocument/2006/relationships/hyperlink" Target="Document/Factures/F2024-11-0009.pdf" TargetMode="External"/><Relationship Id="rId61" Type="http://schemas.openxmlformats.org/officeDocument/2006/relationships/hyperlink" Target="../../../Documents/Factures/F2021-09-0010.pdf" TargetMode="External"/><Relationship Id="rId19" Type="http://schemas.openxmlformats.org/officeDocument/2006/relationships/hyperlink" Target="../../../Documents/Factures/F2022-06-0029.pdf" TargetMode="External"/><Relationship Id="rId14" Type="http://schemas.openxmlformats.org/officeDocument/2006/relationships/hyperlink" Target="../../../Documents/Factures/F2022-07-0034.pdf" TargetMode="External"/><Relationship Id="rId22" Type="http://schemas.openxmlformats.org/officeDocument/2006/relationships/hyperlink" Target="../../../Documents/Factures/F2022-06-0026.pdf" TargetMode="External"/><Relationship Id="rId27" Type="http://schemas.openxmlformats.org/officeDocument/2006/relationships/hyperlink" Target="../../../Documents/Factures/F2022-05-0021.pdf" TargetMode="External"/><Relationship Id="rId30" Type="http://schemas.openxmlformats.org/officeDocument/2006/relationships/hyperlink" Target="../../../Documents/Factures/F2022-04-0018.pdf" TargetMode="External"/><Relationship Id="rId35" Type="http://schemas.openxmlformats.org/officeDocument/2006/relationships/hyperlink" Target="../../../Documents/Factures/F2022-03-0013.pdf" TargetMode="External"/><Relationship Id="rId43" Type="http://schemas.openxmlformats.org/officeDocument/2006/relationships/hyperlink" Target="../../../Documents/Factures/F2022-01-0005.pdf" TargetMode="External"/><Relationship Id="rId48" Type="http://schemas.openxmlformats.org/officeDocument/2006/relationships/hyperlink" Target="../../../Documents/Factures/F2021-11-0017.pdf" TargetMode="External"/><Relationship Id="rId56" Type="http://schemas.openxmlformats.org/officeDocument/2006/relationships/hyperlink" Target="../../../Documents/Factures/F2021-12-0024.pdf" TargetMode="External"/><Relationship Id="rId64" Type="http://schemas.openxmlformats.org/officeDocument/2006/relationships/hyperlink" Target="../../../Documents/Factures/F2021-10-0013.pdf" TargetMode="External"/><Relationship Id="rId69" Type="http://schemas.openxmlformats.org/officeDocument/2006/relationships/hyperlink" Target="../../../Documents/Factures/F2021-09-0006.pdf" TargetMode="External"/><Relationship Id="rId77" Type="http://schemas.openxmlformats.org/officeDocument/2006/relationships/drawing" Target="../drawings/drawing6.xml"/><Relationship Id="rId8" Type="http://schemas.openxmlformats.org/officeDocument/2006/relationships/hyperlink" Target="Document/Factures/F2024-11-0003.pdf" TargetMode="External"/><Relationship Id="rId51" Type="http://schemas.openxmlformats.org/officeDocument/2006/relationships/hyperlink" Target="../../../Documents/Factures/F2021-11-0019.pdf" TargetMode="External"/><Relationship Id="rId72" Type="http://schemas.openxmlformats.org/officeDocument/2006/relationships/hyperlink" Target="Document/Factures/F2024-11-0009.pdf" TargetMode="External"/><Relationship Id="rId3" Type="http://schemas.openxmlformats.org/officeDocument/2006/relationships/hyperlink" Target="Document/Factures/F2024-11-0007.pdf" TargetMode="External"/><Relationship Id="rId12" Type="http://schemas.openxmlformats.org/officeDocument/2006/relationships/hyperlink" Target="..\..\..\..\Documents\Factures\F2022-07-0036.pdf" TargetMode="External"/><Relationship Id="rId17" Type="http://schemas.openxmlformats.org/officeDocument/2006/relationships/hyperlink" Target="../../../Documents/Factures/F2022-07-0031.pdf" TargetMode="External"/><Relationship Id="rId25" Type="http://schemas.openxmlformats.org/officeDocument/2006/relationships/hyperlink" Target="../../../Documents/Factures/F2022-05-0023.pdf" TargetMode="External"/><Relationship Id="rId33" Type="http://schemas.openxmlformats.org/officeDocument/2006/relationships/hyperlink" Target="../../../Documents/Factures/F2022-03-0015.pdf" TargetMode="External"/><Relationship Id="rId38" Type="http://schemas.openxmlformats.org/officeDocument/2006/relationships/hyperlink" Target="../../../Documents/Factures/F2022-02-0010.pdf" TargetMode="External"/><Relationship Id="rId46" Type="http://schemas.openxmlformats.org/officeDocument/2006/relationships/hyperlink" Target="../../../Documents/Factures/F2022-01-0002.pdf" TargetMode="External"/><Relationship Id="rId59" Type="http://schemas.openxmlformats.org/officeDocument/2006/relationships/hyperlink" Target="../../../Documents/Factures/F2021-09-0008.pdf" TargetMode="External"/><Relationship Id="rId67" Type="http://schemas.openxmlformats.org/officeDocument/2006/relationships/hyperlink" Target="../../../Documents/Factures/F2021-10-0016.pdf" TargetMode="External"/><Relationship Id="rId20" Type="http://schemas.openxmlformats.org/officeDocument/2006/relationships/hyperlink" Target="../../../Documents/Factures/F2022-06-0028.pdf" TargetMode="External"/><Relationship Id="rId41" Type="http://schemas.openxmlformats.org/officeDocument/2006/relationships/hyperlink" Target="../../../Documents/Factures/F2022-02-0007.pdf" TargetMode="External"/><Relationship Id="rId54" Type="http://schemas.openxmlformats.org/officeDocument/2006/relationships/hyperlink" Target="../../../Documents/Factures/F2021-12-0022.pdf" TargetMode="External"/><Relationship Id="rId62" Type="http://schemas.openxmlformats.org/officeDocument/2006/relationships/hyperlink" Target="../../../Documents/Factures/F2021-10-0011.pdf" TargetMode="External"/><Relationship Id="rId70" Type="http://schemas.openxmlformats.org/officeDocument/2006/relationships/hyperlink" Target="Document/Factures/F2024-11-0007.pdf" TargetMode="External"/><Relationship Id="rId75" Type="http://schemas.openxmlformats.org/officeDocument/2006/relationships/hyperlink" Target="Document/Factures/F2024-11-0012.pdf" TargetMode="External"/><Relationship Id="rId1" Type="http://schemas.openxmlformats.org/officeDocument/2006/relationships/hyperlink" Target="Document/Factures/F2024-11-0005.pdf" TargetMode="External"/><Relationship Id="rId6" Type="http://schemas.openxmlformats.org/officeDocument/2006/relationships/hyperlink" Target="Document/Factures/F2024-11-0001.pdf" TargetMode="External"/><Relationship Id="rId15" Type="http://schemas.openxmlformats.org/officeDocument/2006/relationships/hyperlink" Target="../../../Documents/Factures/F2022-07-0033.pdf" TargetMode="External"/><Relationship Id="rId23" Type="http://schemas.openxmlformats.org/officeDocument/2006/relationships/hyperlink" Target="..\..\..\Documents\Factures\F2022-05-0025.pdf" TargetMode="External"/><Relationship Id="rId28" Type="http://schemas.openxmlformats.org/officeDocument/2006/relationships/hyperlink" Target="../../../Documents/Factures/F2022-04-0020.pdf" TargetMode="External"/><Relationship Id="rId36" Type="http://schemas.openxmlformats.org/officeDocument/2006/relationships/hyperlink" Target="..\..\..\Documents\Factures\F2022-03-0012.pdf" TargetMode="External"/><Relationship Id="rId49" Type="http://schemas.openxmlformats.org/officeDocument/2006/relationships/hyperlink" Target="../../../Documents/Factures/F2021-11-0018.pdf" TargetMode="External"/><Relationship Id="rId57" Type="http://schemas.openxmlformats.org/officeDocument/2006/relationships/hyperlink" Target="../../../Documents/Factures/F2021-12-0025.pdf" TargetMode="External"/><Relationship Id="rId10" Type="http://schemas.openxmlformats.org/officeDocument/2006/relationships/hyperlink" Target="Document/Factures/F2024-11-0005.pdf" TargetMode="External"/><Relationship Id="rId31" Type="http://schemas.openxmlformats.org/officeDocument/2006/relationships/hyperlink" Target="../../../Documents/Factures/F2022-04-0017.pdf" TargetMode="External"/><Relationship Id="rId44" Type="http://schemas.openxmlformats.org/officeDocument/2006/relationships/hyperlink" Target="../../../Documents/Factures/F2022-01-0004.pdf" TargetMode="External"/><Relationship Id="rId52" Type="http://schemas.openxmlformats.org/officeDocument/2006/relationships/hyperlink" Target="../../../Documents/Factures/F2021-11-0020.pdf" TargetMode="External"/><Relationship Id="rId60" Type="http://schemas.openxmlformats.org/officeDocument/2006/relationships/hyperlink" Target="../../../Documents/Factures/F2021-09-0009.pdf" TargetMode="External"/><Relationship Id="rId65" Type="http://schemas.openxmlformats.org/officeDocument/2006/relationships/hyperlink" Target="../../../Documents/Factures/F2021-10-0014.pdf" TargetMode="External"/><Relationship Id="rId73" Type="http://schemas.openxmlformats.org/officeDocument/2006/relationships/hyperlink" Target="Document/Factures/F2024-11-0010.pdf" TargetMode="External"/><Relationship Id="rId78" Type="http://schemas.openxmlformats.org/officeDocument/2006/relationships/table" Target="../tables/table1.xml"/><Relationship Id="rId4" Type="http://schemas.openxmlformats.org/officeDocument/2006/relationships/hyperlink" Target="Document/Factures/F2024-11-0008.pdf" TargetMode="External"/><Relationship Id="rId9" Type="http://schemas.openxmlformats.org/officeDocument/2006/relationships/hyperlink" Target="Document/Factures/F2024-11-0004.pdf" TargetMode="External"/><Relationship Id="rId13" Type="http://schemas.openxmlformats.org/officeDocument/2006/relationships/hyperlink" Target="../../../Documents/Factures/F2022-07-0035.pdf" TargetMode="External"/><Relationship Id="rId18" Type="http://schemas.openxmlformats.org/officeDocument/2006/relationships/hyperlink" Target="../../../Documents/Factures/F2022-06-0030.pdf" TargetMode="External"/><Relationship Id="rId39" Type="http://schemas.openxmlformats.org/officeDocument/2006/relationships/hyperlink" Target="../../../Documents/Factures/F2022-02-0009.pdf" TargetMode="External"/><Relationship Id="rId34" Type="http://schemas.openxmlformats.org/officeDocument/2006/relationships/hyperlink" Target="../../../Documents/Factures/F2022-03-0014.pdf" TargetMode="External"/><Relationship Id="rId50" Type="http://schemas.openxmlformats.org/officeDocument/2006/relationships/hyperlink" Target="../../../Documents/Factures/F2021-11-0018.pdf" TargetMode="External"/><Relationship Id="rId55" Type="http://schemas.openxmlformats.org/officeDocument/2006/relationships/hyperlink" Target="../../../Documents/Factures/F2021-12-0023.pdf" TargetMode="External"/><Relationship Id="rId76" Type="http://schemas.openxmlformats.org/officeDocument/2006/relationships/printerSettings" Target="../printerSettings/printerSettings5.bin"/><Relationship Id="rId7" Type="http://schemas.openxmlformats.org/officeDocument/2006/relationships/hyperlink" Target="Document/Factures/F2024-11-0002.pdf" TargetMode="External"/><Relationship Id="rId71" Type="http://schemas.openxmlformats.org/officeDocument/2006/relationships/hyperlink" Target="Document/Factures/F2024-11-0008.pdf" TargetMode="External"/><Relationship Id="rId2" Type="http://schemas.openxmlformats.org/officeDocument/2006/relationships/hyperlink" Target="Document/Factures/F2024-11-0006.pdf" TargetMode="External"/><Relationship Id="rId29" Type="http://schemas.openxmlformats.org/officeDocument/2006/relationships/hyperlink" Target="..\..\..\Documents\Factures\F2022-04-0019.pdf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www.datascienceportfol.io/mouloloden" TargetMode="External"/><Relationship Id="rId1" Type="http://schemas.openxmlformats.org/officeDocument/2006/relationships/hyperlink" Target="mailto:moulololeden@gmail.com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7C4E1-C384-400B-99F9-C629D800EC64}">
  <sheetPr codeName="Feuil7"/>
  <dimension ref="A1:AE31"/>
  <sheetViews>
    <sheetView tabSelected="1" zoomScale="60" zoomScaleNormal="60" workbookViewId="0">
      <selection activeCell="Y23" sqref="Y23"/>
    </sheetView>
  </sheetViews>
  <sheetFormatPr baseColWidth="10" defaultColWidth="8.88671875" defaultRowHeight="14.4"/>
  <cols>
    <col min="1" max="26" width="8.77734375" style="41" customWidth="1"/>
    <col min="27" max="27" width="14.33203125" style="41" hidden="1" customWidth="1"/>
    <col min="28" max="28" width="10.5546875" style="41" hidden="1" customWidth="1"/>
    <col min="29" max="29" width="19" style="41" hidden="1" customWidth="1"/>
    <col min="30" max="31" width="8.88671875" style="41" hidden="1" customWidth="1"/>
    <col min="32" max="16384" width="8.88671875" style="41"/>
  </cols>
  <sheetData>
    <row r="1" spans="1:28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</row>
    <row r="2" spans="1:28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</row>
    <row r="3" spans="1:28" ht="10.8" customHeight="1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</row>
    <row r="22" spans="13:31">
      <c r="AA22" s="60" t="str">
        <f ca="1">INDIRECT("'Liste Factures'!E10")</f>
        <v>F2024-11-0012</v>
      </c>
      <c r="AB22" s="61">
        <f ca="1">INDIRECT("'Liste Factures'!F10")</f>
        <v>45613</v>
      </c>
      <c r="AC22" s="60" t="str">
        <f ca="1">INDIRECT("'Liste Factures'!G10")</f>
        <v>Laurianne Fleur</v>
      </c>
      <c r="AD22" s="60">
        <f ca="1">INDIRECT("'Liste Factures'!H10")</f>
        <v>1856.4</v>
      </c>
      <c r="AE22" s="60" t="str">
        <f ca="1">INDIRECT("'Liste Factures'!I10")</f>
        <v>Impayée</v>
      </c>
    </row>
    <row r="23" spans="13:31">
      <c r="AA23" s="60" t="str">
        <f ca="1">INDIRECT("'Liste Factures'!E11")</f>
        <v>F2024-11-0011</v>
      </c>
      <c r="AB23" s="61">
        <f ca="1">INDIRECT("'Liste Factures'!F11")</f>
        <v>45613</v>
      </c>
      <c r="AC23" s="60" t="str">
        <f ca="1">INDIRECT("'Liste Factures'!G11")</f>
        <v>Emmanuel Collin</v>
      </c>
      <c r="AD23" s="60">
        <f ca="1">INDIRECT("'Liste Factures'!H11")</f>
        <v>536.4</v>
      </c>
      <c r="AE23" s="60" t="str">
        <f ca="1">INDIRECT("'Liste Factures'!I11")</f>
        <v>Impayée</v>
      </c>
    </row>
    <row r="24" spans="13:31">
      <c r="M24" s="62"/>
      <c r="N24" s="62"/>
      <c r="O24" s="62"/>
      <c r="P24" s="62"/>
      <c r="Q24" s="62"/>
      <c r="R24" s="62"/>
      <c r="S24" s="62"/>
      <c r="T24" s="62"/>
      <c r="U24" s="62"/>
      <c r="AA24" s="60" t="str">
        <f ca="1">INDIRECT("'Liste Factures'!E12")</f>
        <v>F2024-11-0010</v>
      </c>
      <c r="AB24" s="61">
        <f ca="1">INDIRECT("'Liste Factures'!F12")</f>
        <v>45613</v>
      </c>
      <c r="AC24" s="60" t="str">
        <f ca="1">INDIRECT("'Liste Factures'!G12")</f>
        <v>Olivier Jean-Louis</v>
      </c>
      <c r="AD24" s="60">
        <f ca="1">INDIRECT("'Liste Factures'!H12")</f>
        <v>2582.4</v>
      </c>
      <c r="AE24" s="60" t="str">
        <f ca="1">INDIRECT("'Liste Factures'!I12")</f>
        <v>Impayée</v>
      </c>
    </row>
    <row r="25" spans="13:31">
      <c r="M25" s="63"/>
      <c r="N25" s="63"/>
      <c r="O25" s="63"/>
      <c r="P25" s="63"/>
      <c r="Q25" s="63"/>
      <c r="R25" s="63"/>
      <c r="S25" s="63"/>
      <c r="T25" s="63"/>
      <c r="U25" s="63"/>
      <c r="AA25" s="60" t="str">
        <f ca="1">INDIRECT("'Liste Factures'!E13")</f>
        <v>F2024-11-0009</v>
      </c>
      <c r="AB25" s="61">
        <f ca="1">INDIRECT("'Liste Factures'!F13")</f>
        <v>45613</v>
      </c>
      <c r="AC25" s="60" t="str">
        <f ca="1">INDIRECT("'Liste Factures'!G13")</f>
        <v>Olivier Jean-Louis</v>
      </c>
      <c r="AD25" s="60">
        <f ca="1">INDIRECT("'Liste Factures'!H13")</f>
        <v>1291.2</v>
      </c>
      <c r="AE25" s="60" t="str">
        <f ca="1">INDIRECT("'Liste Factures'!I13")</f>
        <v>Payée</v>
      </c>
    </row>
    <row r="26" spans="13:31">
      <c r="M26" s="42"/>
      <c r="N26" s="42"/>
      <c r="O26" s="42"/>
      <c r="P26" s="42"/>
      <c r="Q26" s="42"/>
      <c r="R26" s="42"/>
      <c r="S26" s="42"/>
      <c r="T26" s="42"/>
      <c r="U26" s="42"/>
    </row>
    <row r="27" spans="13:31">
      <c r="M27" s="42"/>
      <c r="N27" s="42"/>
      <c r="O27" s="42"/>
      <c r="P27" s="42"/>
      <c r="Q27" s="42"/>
      <c r="R27" s="42"/>
      <c r="S27" s="42"/>
      <c r="T27" s="42"/>
      <c r="U27" s="42"/>
    </row>
    <row r="28" spans="13:31">
      <c r="M28" s="42"/>
      <c r="N28" s="42"/>
      <c r="O28" s="42"/>
      <c r="P28" s="42"/>
      <c r="Q28" s="42"/>
      <c r="R28" s="42"/>
      <c r="S28" s="42"/>
      <c r="T28" s="42"/>
      <c r="U28" s="42"/>
    </row>
    <row r="29" spans="13:31">
      <c r="M29" s="42"/>
      <c r="N29" s="42"/>
      <c r="O29" s="42"/>
      <c r="P29" s="42"/>
      <c r="Q29" s="42"/>
      <c r="R29" s="42"/>
      <c r="S29" s="42"/>
      <c r="T29" s="42"/>
      <c r="U29" s="42"/>
    </row>
    <row r="30" spans="13:31">
      <c r="M30" s="42"/>
      <c r="N30" s="42"/>
      <c r="O30" s="42"/>
      <c r="P30" s="42"/>
      <c r="Q30" s="42"/>
      <c r="R30" s="42"/>
      <c r="S30" s="42"/>
      <c r="T30" s="42"/>
      <c r="U30" s="42"/>
    </row>
    <row r="31" spans="13:31">
      <c r="M31" s="42"/>
      <c r="N31" s="42"/>
      <c r="O31" s="42"/>
      <c r="P31" s="42"/>
      <c r="Q31" s="42"/>
      <c r="R31" s="42"/>
      <c r="S31" s="42"/>
      <c r="T31" s="42"/>
      <c r="U31" s="42"/>
    </row>
  </sheetData>
  <mergeCells count="8">
    <mergeCell ref="M24:N24"/>
    <mergeCell ref="O24:P24"/>
    <mergeCell ref="Q24:S24"/>
    <mergeCell ref="T24:U24"/>
    <mergeCell ref="M25:N25"/>
    <mergeCell ref="O25:P25"/>
    <mergeCell ref="Q25:S25"/>
    <mergeCell ref="T25:U25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1E7D-B37B-448B-B6E1-F30B40037363}">
  <sheetPr codeName="Feuil8"/>
  <dimension ref="A1:K47"/>
  <sheetViews>
    <sheetView workbookViewId="0">
      <selection activeCell="G38" sqref="G38"/>
    </sheetView>
  </sheetViews>
  <sheetFormatPr baseColWidth="10" defaultRowHeight="14.4"/>
  <cols>
    <col min="1" max="1" width="23.21875" bestFit="1" customWidth="1"/>
    <col min="6" max="6" width="19.5546875" bestFit="1" customWidth="1"/>
    <col min="7" max="7" width="23.21875" bestFit="1" customWidth="1"/>
    <col min="8" max="8" width="24.21875" bestFit="1" customWidth="1"/>
    <col min="10" max="10" width="23.21875" bestFit="1" customWidth="1"/>
    <col min="11" max="11" width="10.21875" bestFit="1" customWidth="1"/>
  </cols>
  <sheetData>
    <row r="1" spans="1:11">
      <c r="A1" t="s">
        <v>162</v>
      </c>
      <c r="B1" t="s">
        <v>163</v>
      </c>
      <c r="C1" t="s">
        <v>164</v>
      </c>
      <c r="F1" s="52" t="s">
        <v>133</v>
      </c>
      <c r="G1" t="s">
        <v>148</v>
      </c>
      <c r="J1" s="52" t="s">
        <v>133</v>
      </c>
      <c r="K1" t="s">
        <v>137</v>
      </c>
    </row>
    <row r="2" spans="1:11">
      <c r="A2" s="53">
        <v>219427.20000000001</v>
      </c>
      <c r="B2" s="53">
        <f>GETPIVOTDATA("MONTANT TTC",$A$1)/1.2</f>
        <v>182856.00000000003</v>
      </c>
      <c r="C2" s="53">
        <f>GETPIVOTDATA("MONTANT TTC",$A$1)-B2</f>
        <v>36571.199999999983</v>
      </c>
    </row>
    <row r="3" spans="1:11">
      <c r="F3" t="s">
        <v>162</v>
      </c>
      <c r="J3" t="s">
        <v>162</v>
      </c>
    </row>
    <row r="4" spans="1:11">
      <c r="F4" s="53">
        <v>144388.80000000002</v>
      </c>
      <c r="J4" s="53">
        <v>75038.400000000023</v>
      </c>
    </row>
    <row r="9" spans="1:11">
      <c r="A9" s="43"/>
      <c r="B9" s="44"/>
      <c r="C9" s="45"/>
    </row>
    <row r="10" spans="1:11">
      <c r="A10" s="46"/>
      <c r="B10" s="47"/>
      <c r="C10" s="48"/>
    </row>
    <row r="11" spans="1:11">
      <c r="A11" s="46"/>
      <c r="B11" s="47"/>
      <c r="C11" s="48"/>
    </row>
    <row r="12" spans="1:11">
      <c r="A12" s="46"/>
      <c r="B12" s="47"/>
      <c r="C12" s="48"/>
      <c r="F12" s="52" t="s">
        <v>165</v>
      </c>
      <c r="G12" t="s">
        <v>162</v>
      </c>
      <c r="H12" t="s">
        <v>226</v>
      </c>
    </row>
    <row r="13" spans="1:11">
      <c r="A13" s="46"/>
      <c r="B13" s="47"/>
      <c r="C13" s="48"/>
      <c r="F13" s="54" t="s">
        <v>232</v>
      </c>
      <c r="G13" s="53">
        <v>8616</v>
      </c>
      <c r="H13" s="53">
        <v>8616</v>
      </c>
    </row>
    <row r="14" spans="1:11">
      <c r="A14" s="46"/>
      <c r="B14" s="47"/>
      <c r="C14" s="48"/>
      <c r="F14" s="54" t="s">
        <v>233</v>
      </c>
      <c r="G14" s="53">
        <v>16036.8</v>
      </c>
      <c r="H14" s="53">
        <v>16036.8</v>
      </c>
    </row>
    <row r="15" spans="1:11">
      <c r="A15" s="46"/>
      <c r="B15" s="47"/>
      <c r="C15" s="48"/>
      <c r="F15" s="54" t="s">
        <v>234</v>
      </c>
      <c r="G15" s="53">
        <v>14418</v>
      </c>
      <c r="H15" s="53">
        <v>14418</v>
      </c>
    </row>
    <row r="16" spans="1:11">
      <c r="A16" s="46"/>
      <c r="B16" s="47"/>
      <c r="C16" s="48"/>
      <c r="F16" s="54" t="s">
        <v>235</v>
      </c>
      <c r="G16" s="53">
        <v>15159.599999999999</v>
      </c>
      <c r="H16" s="53">
        <v>15159.599999999999</v>
      </c>
    </row>
    <row r="17" spans="1:8">
      <c r="A17" s="46"/>
      <c r="B17" s="47"/>
      <c r="C17" s="48"/>
      <c r="F17" s="54" t="s">
        <v>236</v>
      </c>
      <c r="G17" s="53">
        <v>5121.5999999999995</v>
      </c>
      <c r="H17" s="53">
        <v>5121.5999999999995</v>
      </c>
    </row>
    <row r="18" spans="1:8">
      <c r="A18" s="46"/>
      <c r="B18" s="47"/>
      <c r="C18" s="48"/>
      <c r="F18" s="54" t="s">
        <v>237</v>
      </c>
      <c r="G18" s="53">
        <v>12650.4</v>
      </c>
      <c r="H18" s="53">
        <v>12650.4</v>
      </c>
    </row>
    <row r="19" spans="1:8">
      <c r="A19" s="46"/>
      <c r="B19" s="47"/>
      <c r="C19" s="48"/>
      <c r="F19" s="54" t="s">
        <v>238</v>
      </c>
      <c r="G19" s="53">
        <v>16251.599999999999</v>
      </c>
      <c r="H19" s="53">
        <v>16251.599999999999</v>
      </c>
    </row>
    <row r="20" spans="1:8">
      <c r="A20" s="46"/>
      <c r="B20" s="47"/>
      <c r="C20" s="48"/>
      <c r="F20" s="54" t="s">
        <v>227</v>
      </c>
      <c r="G20" s="53">
        <v>2995.2</v>
      </c>
      <c r="H20" s="53">
        <v>2995.2</v>
      </c>
    </row>
    <row r="21" spans="1:8">
      <c r="A21" s="46"/>
      <c r="B21" s="47"/>
      <c r="C21" s="48"/>
      <c r="F21" s="54" t="s">
        <v>228</v>
      </c>
      <c r="G21" s="53">
        <v>18561.600000000002</v>
      </c>
      <c r="H21" s="53">
        <v>18561.600000000002</v>
      </c>
    </row>
    <row r="22" spans="1:8">
      <c r="A22" s="46"/>
      <c r="B22" s="47"/>
      <c r="C22" s="48"/>
      <c r="F22" s="54" t="s">
        <v>229</v>
      </c>
      <c r="G22" s="53">
        <v>10042.800000000001</v>
      </c>
      <c r="H22" s="53">
        <v>10042.800000000001</v>
      </c>
    </row>
    <row r="23" spans="1:8">
      <c r="A23" s="46"/>
      <c r="B23" s="47"/>
      <c r="C23" s="48"/>
      <c r="F23" s="54" t="s">
        <v>230</v>
      </c>
      <c r="G23" s="53">
        <v>87581.999999999985</v>
      </c>
      <c r="H23" s="53">
        <v>87581.999999999985</v>
      </c>
    </row>
    <row r="24" spans="1:8">
      <c r="A24" s="46"/>
      <c r="B24" s="47"/>
      <c r="C24" s="48"/>
      <c r="F24" s="54" t="s">
        <v>231</v>
      </c>
      <c r="G24" s="53">
        <v>11991.599999999999</v>
      </c>
      <c r="H24" s="53">
        <v>11991.599999999999</v>
      </c>
    </row>
    <row r="25" spans="1:8">
      <c r="A25" s="46"/>
      <c r="B25" s="47"/>
      <c r="C25" s="48"/>
      <c r="F25" s="54" t="s">
        <v>166</v>
      </c>
      <c r="G25" s="53">
        <v>219427.19999999998</v>
      </c>
      <c r="H25" s="53">
        <v>219427.19999999998</v>
      </c>
    </row>
    <row r="26" spans="1:8">
      <c r="A26" s="49"/>
      <c r="B26" s="50"/>
      <c r="C26" s="51"/>
    </row>
    <row r="28" spans="1:8">
      <c r="F28" s="52" t="s">
        <v>165</v>
      </c>
      <c r="G28" t="s">
        <v>162</v>
      </c>
    </row>
    <row r="29" spans="1:8">
      <c r="F29" s="57" t="s">
        <v>137</v>
      </c>
      <c r="G29" s="58">
        <v>0.34197401233757713</v>
      </c>
    </row>
    <row r="30" spans="1:8">
      <c r="F30" s="57" t="s">
        <v>148</v>
      </c>
      <c r="G30" s="58">
        <v>0.65802598766242293</v>
      </c>
    </row>
    <row r="31" spans="1:8">
      <c r="F31" s="57" t="s">
        <v>166</v>
      </c>
      <c r="G31" s="58">
        <v>1</v>
      </c>
    </row>
    <row r="34" spans="6:7">
      <c r="F34" s="52" t="s">
        <v>165</v>
      </c>
      <c r="G34" t="s">
        <v>162</v>
      </c>
    </row>
    <row r="35" spans="6:7">
      <c r="F35" s="57" t="s">
        <v>150</v>
      </c>
      <c r="G35" s="58">
        <v>0.30324789734383828</v>
      </c>
    </row>
    <row r="36" spans="6:7">
      <c r="F36" s="57" t="s">
        <v>161</v>
      </c>
      <c r="G36" s="58">
        <v>0.30287390711744949</v>
      </c>
    </row>
    <row r="37" spans="6:7">
      <c r="F37" s="57" t="s">
        <v>149</v>
      </c>
      <c r="G37" s="58">
        <v>0.39387819553871217</v>
      </c>
    </row>
    <row r="38" spans="6:7">
      <c r="F38" s="57" t="s">
        <v>166</v>
      </c>
      <c r="G38" s="58">
        <v>1</v>
      </c>
    </row>
    <row r="41" spans="6:7">
      <c r="F41" s="52" t="s">
        <v>165</v>
      </c>
      <c r="G41" t="s">
        <v>162</v>
      </c>
    </row>
    <row r="42" spans="6:7">
      <c r="F42" s="57" t="s">
        <v>68</v>
      </c>
      <c r="G42" s="59">
        <v>15778.8</v>
      </c>
    </row>
    <row r="43" spans="6:7">
      <c r="F43" s="57" t="s">
        <v>74</v>
      </c>
      <c r="G43" s="53">
        <v>16236</v>
      </c>
    </row>
    <row r="44" spans="6:7">
      <c r="F44" s="57" t="s">
        <v>77</v>
      </c>
      <c r="G44" s="53">
        <v>16344</v>
      </c>
    </row>
    <row r="45" spans="6:7">
      <c r="F45" s="57" t="s">
        <v>0</v>
      </c>
      <c r="G45" s="53">
        <v>23452.799999999999</v>
      </c>
    </row>
    <row r="46" spans="6:7">
      <c r="F46" s="57" t="s">
        <v>75</v>
      </c>
      <c r="G46" s="53">
        <v>23841.599999999999</v>
      </c>
    </row>
    <row r="47" spans="6:7">
      <c r="F47" s="57" t="s">
        <v>166</v>
      </c>
      <c r="G47" s="59">
        <v>95653.2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B59"/>
  <sheetViews>
    <sheetView showGridLines="0" zoomScale="70" zoomScaleNormal="70" workbookViewId="0">
      <selection activeCell="I14" sqref="I14:K14"/>
    </sheetView>
  </sheetViews>
  <sheetFormatPr baseColWidth="10" defaultColWidth="8.88671875" defaultRowHeight="14.4"/>
  <cols>
    <col min="1" max="2" width="8.88671875" style="1"/>
    <col min="3" max="3" width="3.77734375" style="1" customWidth="1"/>
    <col min="4" max="4" width="5.5546875" style="1" customWidth="1"/>
    <col min="5" max="5" width="13.33203125" style="1" customWidth="1"/>
    <col min="6" max="6" width="13.109375" style="1" customWidth="1"/>
    <col min="7" max="7" width="10" style="1" customWidth="1"/>
    <col min="8" max="8" width="14.33203125" style="1" customWidth="1"/>
    <col min="9" max="9" width="11.21875" style="1" customWidth="1"/>
    <col min="10" max="10" width="7.109375" style="1" customWidth="1"/>
    <col min="11" max="11" width="14.21875" style="1" customWidth="1"/>
    <col min="12" max="12" width="6.5546875" style="1" customWidth="1"/>
    <col min="13" max="13" width="7.5546875" style="1" customWidth="1"/>
    <col min="14" max="16384" width="8.88671875" style="1"/>
  </cols>
  <sheetData>
    <row r="1" spans="1:28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 ht="10.8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6" spans="1:28">
      <c r="C6" s="18"/>
      <c r="D6" s="2"/>
      <c r="E6" s="2"/>
      <c r="F6" s="2"/>
      <c r="G6" s="2"/>
      <c r="H6" s="2"/>
      <c r="I6" s="2"/>
      <c r="J6" s="2"/>
      <c r="K6" s="2"/>
      <c r="L6" s="2"/>
      <c r="M6" s="2"/>
    </row>
    <row r="7" spans="1:28">
      <c r="C7" s="18"/>
      <c r="D7" s="2"/>
      <c r="E7" s="2"/>
      <c r="F7" s="2"/>
      <c r="G7" s="2"/>
      <c r="H7" s="2"/>
      <c r="I7" s="2"/>
      <c r="J7" s="2"/>
      <c r="K7" s="2"/>
      <c r="L7" s="2"/>
      <c r="M7" s="2"/>
    </row>
    <row r="8" spans="1:28" ht="16.8">
      <c r="C8" s="18"/>
      <c r="D8" s="2"/>
      <c r="E8" s="2"/>
      <c r="F8" s="2"/>
      <c r="G8" s="2"/>
      <c r="H8" s="2"/>
      <c r="I8" s="19" t="s">
        <v>117</v>
      </c>
      <c r="J8" s="66">
        <f ca="1">TODAY()</f>
        <v>45613</v>
      </c>
      <c r="K8" s="67"/>
      <c r="L8" s="67"/>
      <c r="M8" s="2"/>
    </row>
    <row r="9" spans="1:28" ht="16.8">
      <c r="C9" s="18"/>
      <c r="D9" s="2"/>
      <c r="E9" s="2"/>
      <c r="F9" s="2"/>
      <c r="G9" s="2"/>
      <c r="H9" s="2"/>
      <c r="I9" s="3" t="s">
        <v>118</v>
      </c>
      <c r="J9" s="68" t="s">
        <v>239</v>
      </c>
      <c r="K9" s="68"/>
      <c r="L9" s="68"/>
      <c r="M9" s="2"/>
    </row>
    <row r="10" spans="1:28" ht="16.8">
      <c r="C10" s="18"/>
      <c r="D10" s="2"/>
      <c r="E10" s="2"/>
      <c r="F10" s="2"/>
      <c r="G10" s="2"/>
      <c r="H10" s="2"/>
      <c r="I10" s="3"/>
      <c r="J10" s="16"/>
      <c r="K10" s="16"/>
      <c r="L10" s="16"/>
      <c r="M10" s="2"/>
    </row>
    <row r="11" spans="1:28">
      <c r="C11" s="18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28">
      <c r="C12" s="18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28">
      <c r="C13" s="18"/>
      <c r="D13" s="2"/>
      <c r="E13" s="2"/>
      <c r="F13" s="2"/>
      <c r="G13" s="2"/>
      <c r="H13" s="2"/>
      <c r="I13" s="20"/>
      <c r="J13" s="20"/>
      <c r="K13" s="20"/>
      <c r="L13" s="2"/>
      <c r="M13" s="2"/>
    </row>
    <row r="14" spans="1:28" ht="17.399999999999999">
      <c r="C14" s="18"/>
      <c r="D14" s="2"/>
      <c r="E14" s="69" t="str">
        <f>Parameters!E9</f>
        <v>MouloloEden</v>
      </c>
      <c r="F14" s="69"/>
      <c r="G14" s="69"/>
      <c r="H14" s="2"/>
      <c r="I14" s="69" t="s">
        <v>68</v>
      </c>
      <c r="J14" s="69"/>
      <c r="K14" s="69"/>
      <c r="L14" s="14"/>
      <c r="M14" s="2"/>
    </row>
    <row r="15" spans="1:28" ht="18" customHeight="1">
      <c r="C15" s="18"/>
      <c r="D15" s="2"/>
      <c r="E15" s="67" t="str">
        <f>Parameters!E10</f>
        <v>41, rue Desaix 75012 Paris</v>
      </c>
      <c r="F15" s="67"/>
      <c r="G15" s="67"/>
      <c r="H15" s="2"/>
      <c r="I15" s="67" t="str">
        <f>IFERROR(VLOOKUP(I14,Clients[],2,FALSE),"")</f>
        <v>47 rue des Alliés 430 St Etienne</v>
      </c>
      <c r="J15" s="67"/>
      <c r="K15" s="67"/>
      <c r="L15" s="15"/>
      <c r="M15" s="2"/>
    </row>
    <row r="16" spans="1:28" ht="18" customHeight="1">
      <c r="C16" s="18"/>
      <c r="D16" s="2"/>
      <c r="E16" s="67" t="str">
        <f>Parameters!E11</f>
        <v>06 11 22 33 44</v>
      </c>
      <c r="F16" s="67"/>
      <c r="G16" s="67"/>
      <c r="H16" s="2"/>
      <c r="I16" s="67" t="str">
        <f>IFERROR(VLOOKUP(I14,Clients[],3,FALSE),"")</f>
        <v>04 77 49 42 42</v>
      </c>
      <c r="J16" s="67"/>
      <c r="K16" s="67"/>
      <c r="L16" s="2"/>
      <c r="M16" s="2"/>
    </row>
    <row r="17" spans="3:13">
      <c r="C17" s="18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3:13">
      <c r="C18" s="18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3:13" ht="19.95" customHeight="1">
      <c r="C19" s="18"/>
      <c r="D19" s="2"/>
      <c r="E19" s="21" t="s">
        <v>119</v>
      </c>
      <c r="F19" s="70" t="s">
        <v>120</v>
      </c>
      <c r="G19" s="70"/>
      <c r="H19" s="26" t="s">
        <v>1</v>
      </c>
      <c r="I19" s="26" t="s">
        <v>121</v>
      </c>
      <c r="J19" s="70" t="s">
        <v>122</v>
      </c>
      <c r="K19" s="70"/>
      <c r="L19" s="70"/>
      <c r="M19" s="2"/>
    </row>
    <row r="20" spans="3:13" ht="19.95" customHeight="1">
      <c r="C20" s="18"/>
      <c r="D20" s="2"/>
      <c r="E20" s="23" t="str">
        <f>IFERROR(VLOOKUP(F20,Produits[],2,FALSE),"")</f>
        <v>F3</v>
      </c>
      <c r="F20" s="64" t="s">
        <v>33</v>
      </c>
      <c r="G20" s="64"/>
      <c r="H20" s="13">
        <f>IFERROR(VLOOKUP(F20,Produits[],3,FALSE),"")</f>
        <v>1479</v>
      </c>
      <c r="I20" s="23">
        <v>5</v>
      </c>
      <c r="J20" s="72">
        <f>IFERROR(H20*I20,"")</f>
        <v>7395</v>
      </c>
      <c r="K20" s="72"/>
      <c r="L20" s="72"/>
      <c r="M20" s="2"/>
    </row>
    <row r="21" spans="3:13" ht="19.95" customHeight="1">
      <c r="C21" s="18"/>
      <c r="D21" s="2"/>
      <c r="E21" s="24" t="str">
        <f>IFERROR(VLOOKUP(F21,Produits[],2,FALSE),"")</f>
        <v/>
      </c>
      <c r="F21" s="71"/>
      <c r="G21" s="71"/>
      <c r="H21" s="22" t="str">
        <f>IFERROR(VLOOKUP(F21,Produits[],3,FALSE),"")</f>
        <v/>
      </c>
      <c r="I21" s="24"/>
      <c r="J21" s="73" t="str">
        <f t="shared" ref="J21:J32" si="0">IFERROR(H21*I21,"")</f>
        <v/>
      </c>
      <c r="K21" s="73"/>
      <c r="L21" s="73"/>
      <c r="M21" s="2"/>
    </row>
    <row r="22" spans="3:13" ht="19.95" customHeight="1">
      <c r="C22" s="18"/>
      <c r="D22" s="2"/>
      <c r="E22" s="23" t="str">
        <f>IFERROR(VLOOKUP(F22,Produits[],2,FALSE),"")</f>
        <v/>
      </c>
      <c r="F22" s="64"/>
      <c r="G22" s="64"/>
      <c r="H22" s="13" t="str">
        <f>IFERROR(VLOOKUP(F22,Produits[],3,FALSE),"")</f>
        <v/>
      </c>
      <c r="I22" s="23"/>
      <c r="J22" s="72" t="str">
        <f t="shared" si="0"/>
        <v/>
      </c>
      <c r="K22" s="72"/>
      <c r="L22" s="72"/>
      <c r="M22" s="2"/>
    </row>
    <row r="23" spans="3:13" ht="19.95" customHeight="1">
      <c r="C23" s="18"/>
      <c r="D23" s="2"/>
      <c r="E23" s="24" t="str">
        <f>IFERROR(VLOOKUP(F23,Produits[],2,FALSE),"")</f>
        <v/>
      </c>
      <c r="F23" s="71"/>
      <c r="G23" s="71"/>
      <c r="H23" s="22" t="str">
        <f>IFERROR(VLOOKUP(F23,Produits[],3,FALSE),"")</f>
        <v/>
      </c>
      <c r="I23" s="24"/>
      <c r="J23" s="73" t="str">
        <f t="shared" si="0"/>
        <v/>
      </c>
      <c r="K23" s="73"/>
      <c r="L23" s="73"/>
      <c r="M23" s="2"/>
    </row>
    <row r="24" spans="3:13" ht="19.95" customHeight="1">
      <c r="C24" s="18"/>
      <c r="D24" s="2"/>
      <c r="E24" s="23" t="str">
        <f>IFERROR(VLOOKUP(F24,Produits[],2,FALSE),"")</f>
        <v/>
      </c>
      <c r="F24" s="64"/>
      <c r="G24" s="64"/>
      <c r="H24" s="13" t="str">
        <f>IFERROR(VLOOKUP(F24,Produits[],3,FALSE),"")</f>
        <v/>
      </c>
      <c r="I24" s="23"/>
      <c r="J24" s="72" t="str">
        <f t="shared" si="0"/>
        <v/>
      </c>
      <c r="K24" s="72"/>
      <c r="L24" s="72"/>
      <c r="M24" s="2"/>
    </row>
    <row r="25" spans="3:13" ht="19.95" customHeight="1">
      <c r="C25" s="18"/>
      <c r="D25" s="2"/>
      <c r="E25" s="24" t="str">
        <f>IFERROR(VLOOKUP(F25,Produits[],2,FALSE),"")</f>
        <v/>
      </c>
      <c r="F25" s="71"/>
      <c r="G25" s="71"/>
      <c r="H25" s="22" t="str">
        <f>IFERROR(VLOOKUP(F25,Produits[],3,FALSE),"")</f>
        <v/>
      </c>
      <c r="I25" s="24"/>
      <c r="J25" s="73" t="str">
        <f t="shared" si="0"/>
        <v/>
      </c>
      <c r="K25" s="73"/>
      <c r="L25" s="73"/>
      <c r="M25" s="2"/>
    </row>
    <row r="26" spans="3:13" ht="19.95" customHeight="1">
      <c r="C26" s="18"/>
      <c r="D26" s="2"/>
      <c r="E26" s="23" t="str">
        <f>IFERROR(VLOOKUP(F26,Produits[],2,FALSE),"")</f>
        <v/>
      </c>
      <c r="F26" s="64"/>
      <c r="G26" s="64"/>
      <c r="H26" s="13" t="str">
        <f>IFERROR(VLOOKUP(F26,Produits[],3,FALSE),"")</f>
        <v/>
      </c>
      <c r="I26" s="23"/>
      <c r="J26" s="72" t="str">
        <f t="shared" si="0"/>
        <v/>
      </c>
      <c r="K26" s="72"/>
      <c r="L26" s="72"/>
      <c r="M26" s="2"/>
    </row>
    <row r="27" spans="3:13" ht="19.95" customHeight="1">
      <c r="C27" s="18"/>
      <c r="D27" s="2"/>
      <c r="E27" s="24" t="str">
        <f>IFERROR(VLOOKUP(F27,Produits[],2,FALSE),"")</f>
        <v/>
      </c>
      <c r="F27" s="71"/>
      <c r="G27" s="71"/>
      <c r="H27" s="22" t="str">
        <f>IFERROR(VLOOKUP(F27,Produits[],3,FALSE),"")</f>
        <v/>
      </c>
      <c r="I27" s="24"/>
      <c r="J27" s="73" t="str">
        <f t="shared" si="0"/>
        <v/>
      </c>
      <c r="K27" s="73"/>
      <c r="L27" s="73"/>
      <c r="M27" s="2"/>
    </row>
    <row r="28" spans="3:13" ht="19.95" customHeight="1">
      <c r="C28" s="18"/>
      <c r="D28" s="2"/>
      <c r="E28" s="23" t="str">
        <f>IFERROR(VLOOKUP(F28,Produits[],2,FALSE),"")</f>
        <v/>
      </c>
      <c r="F28" s="64"/>
      <c r="G28" s="64"/>
      <c r="H28" s="13" t="str">
        <f>IFERROR(VLOOKUP(F28,Produits[],3,FALSE),"")</f>
        <v/>
      </c>
      <c r="I28" s="23"/>
      <c r="J28" s="72" t="str">
        <f t="shared" si="0"/>
        <v/>
      </c>
      <c r="K28" s="72"/>
      <c r="L28" s="72"/>
      <c r="M28" s="2"/>
    </row>
    <row r="29" spans="3:13" ht="19.95" customHeight="1">
      <c r="C29" s="18"/>
      <c r="D29" s="2"/>
      <c r="E29" s="24" t="str">
        <f>IFERROR(VLOOKUP(F29,Produits[],2,FALSE),"")</f>
        <v/>
      </c>
      <c r="F29" s="71"/>
      <c r="G29" s="71"/>
      <c r="H29" s="22" t="str">
        <f>IFERROR(VLOOKUP(F29,Produits[],3,FALSE),"")</f>
        <v/>
      </c>
      <c r="I29" s="24"/>
      <c r="J29" s="73" t="str">
        <f t="shared" si="0"/>
        <v/>
      </c>
      <c r="K29" s="73"/>
      <c r="L29" s="73"/>
      <c r="M29" s="2"/>
    </row>
    <row r="30" spans="3:13" ht="19.95" customHeight="1">
      <c r="C30" s="18"/>
      <c r="D30" s="2"/>
      <c r="E30" s="23" t="str">
        <f>IFERROR(VLOOKUP(F30,Produits[],2,FALSE),"")</f>
        <v/>
      </c>
      <c r="F30" s="64"/>
      <c r="G30" s="64"/>
      <c r="H30" s="13" t="str">
        <f>IFERROR(VLOOKUP(F30,Produits[],3,FALSE),"")</f>
        <v/>
      </c>
      <c r="I30" s="23"/>
      <c r="J30" s="72" t="str">
        <f t="shared" si="0"/>
        <v/>
      </c>
      <c r="K30" s="72"/>
      <c r="L30" s="72"/>
      <c r="M30" s="2"/>
    </row>
    <row r="31" spans="3:13" ht="19.95" customHeight="1">
      <c r="C31" s="18"/>
      <c r="D31" s="2"/>
      <c r="E31" s="24" t="str">
        <f>IFERROR(VLOOKUP(F31,Produits[],2,FALSE),"")</f>
        <v/>
      </c>
      <c r="F31" s="71"/>
      <c r="G31" s="71"/>
      <c r="H31" s="22" t="str">
        <f>IFERROR(VLOOKUP(F31,Produits[],3,FALSE),"")</f>
        <v/>
      </c>
      <c r="I31" s="24"/>
      <c r="J31" s="73" t="str">
        <f t="shared" si="0"/>
        <v/>
      </c>
      <c r="K31" s="73"/>
      <c r="L31" s="73"/>
      <c r="M31" s="2"/>
    </row>
    <row r="32" spans="3:13" ht="18" customHeight="1">
      <c r="C32" s="18"/>
      <c r="D32" s="2"/>
      <c r="E32" s="25" t="str">
        <f>IFERROR(VLOOKUP(F32,Produits[],2,FALSE),"")</f>
        <v/>
      </c>
      <c r="F32" s="74"/>
      <c r="G32" s="74"/>
      <c r="H32" s="12" t="str">
        <f>IFERROR(VLOOKUP(F32,Produits[],3,FALSE),"")</f>
        <v/>
      </c>
      <c r="I32" s="25"/>
      <c r="J32" s="75" t="str">
        <f t="shared" si="0"/>
        <v/>
      </c>
      <c r="K32" s="75"/>
      <c r="L32" s="75"/>
      <c r="M32" s="2"/>
    </row>
    <row r="33" spans="3:13" ht="10.8" customHeight="1">
      <c r="C33" s="18"/>
      <c r="D33" s="2"/>
      <c r="E33" s="23"/>
      <c r="F33" s="17"/>
      <c r="G33" s="17"/>
      <c r="H33" s="13"/>
      <c r="I33" s="23"/>
      <c r="J33" s="13"/>
      <c r="K33" s="13"/>
      <c r="L33" s="13"/>
      <c r="M33" s="2"/>
    </row>
    <row r="34" spans="3:13" ht="19.95" customHeight="1">
      <c r="C34" s="18"/>
      <c r="D34" s="2"/>
      <c r="E34" s="23"/>
      <c r="F34" s="17"/>
      <c r="G34" s="77" t="s">
        <v>123</v>
      </c>
      <c r="H34" s="77"/>
      <c r="I34" s="77"/>
      <c r="J34" s="72">
        <f>IFERROR(SUM(J20:L32),"")</f>
        <v>7395</v>
      </c>
      <c r="K34" s="72"/>
      <c r="L34" s="72"/>
      <c r="M34" s="2"/>
    </row>
    <row r="35" spans="3:13" ht="19.95" customHeight="1">
      <c r="C35" s="18"/>
      <c r="D35" s="2"/>
      <c r="E35" s="23"/>
      <c r="F35" s="17"/>
      <c r="G35" s="77" t="s">
        <v>124</v>
      </c>
      <c r="H35" s="77"/>
      <c r="I35" s="77"/>
      <c r="J35" s="72">
        <f>J34*20%</f>
        <v>1479</v>
      </c>
      <c r="K35" s="72"/>
      <c r="L35" s="72"/>
      <c r="M35" s="2"/>
    </row>
    <row r="36" spans="3:13" ht="19.95" customHeight="1">
      <c r="C36" s="18"/>
      <c r="D36" s="2"/>
      <c r="E36" s="23"/>
      <c r="F36" s="17"/>
      <c r="G36" s="76" t="s">
        <v>125</v>
      </c>
      <c r="H36" s="76"/>
      <c r="I36" s="76"/>
      <c r="J36" s="72">
        <f>J34+J35</f>
        <v>8874</v>
      </c>
      <c r="K36" s="72"/>
      <c r="L36" s="72"/>
      <c r="M36" s="2"/>
    </row>
    <row r="37" spans="3:13" ht="17.399999999999999" customHeight="1">
      <c r="C37" s="18"/>
      <c r="D37" s="2"/>
      <c r="E37" s="23"/>
      <c r="F37" s="17"/>
      <c r="G37" s="17"/>
      <c r="H37" s="13"/>
      <c r="I37" s="23"/>
      <c r="J37" s="13"/>
      <c r="K37" s="13"/>
      <c r="L37" s="13"/>
      <c r="M37" s="2"/>
    </row>
    <row r="38" spans="3:13" ht="15" customHeight="1">
      <c r="C38" s="18"/>
      <c r="D38" s="2"/>
      <c r="E38" s="23"/>
      <c r="F38" s="17"/>
      <c r="G38" s="17"/>
      <c r="H38" s="13"/>
      <c r="I38" s="23"/>
      <c r="J38" s="13"/>
      <c r="K38" s="13"/>
      <c r="L38" s="13"/>
      <c r="M38" s="2"/>
    </row>
    <row r="39" spans="3:13" ht="14.4" customHeight="1">
      <c r="C39" s="18"/>
      <c r="D39" s="2"/>
      <c r="E39" s="23"/>
      <c r="F39" s="17"/>
      <c r="G39" s="17"/>
      <c r="H39" s="13"/>
      <c r="I39" s="23"/>
      <c r="J39" s="13"/>
      <c r="K39" s="13"/>
      <c r="L39" s="13"/>
      <c r="M39" s="2"/>
    </row>
    <row r="40" spans="3:13" ht="10.8" customHeight="1">
      <c r="C40" s="18"/>
      <c r="D40" s="2"/>
      <c r="E40" s="23"/>
      <c r="F40" s="17"/>
      <c r="G40" s="17"/>
      <c r="H40" s="13"/>
      <c r="I40" s="23"/>
      <c r="J40" s="13"/>
      <c r="K40" s="13"/>
      <c r="L40" s="13"/>
      <c r="M40" s="2"/>
    </row>
    <row r="41" spans="3:13" ht="14.4" customHeight="1">
      <c r="C41" s="18"/>
      <c r="D41" s="2"/>
      <c r="E41" s="23"/>
      <c r="F41" s="17"/>
      <c r="G41" s="17"/>
      <c r="H41" s="13"/>
      <c r="I41" s="23"/>
      <c r="J41" s="13"/>
      <c r="K41" s="13"/>
      <c r="L41" s="13"/>
      <c r="M41" s="2"/>
    </row>
    <row r="42" spans="3:13" ht="14.4" customHeight="1">
      <c r="C42" s="18"/>
      <c r="D42" s="2"/>
      <c r="E42" s="23"/>
      <c r="F42" s="17"/>
      <c r="G42" s="17"/>
      <c r="H42" s="13"/>
      <c r="I42" s="23"/>
      <c r="J42" s="13"/>
      <c r="K42" s="13"/>
      <c r="L42" s="13"/>
      <c r="M42" s="2"/>
    </row>
    <row r="43" spans="3:13" ht="19.2" customHeight="1">
      <c r="C43" s="18"/>
      <c r="D43" s="2"/>
      <c r="E43" s="23"/>
      <c r="F43" s="17"/>
      <c r="G43" s="17"/>
      <c r="H43" s="13"/>
      <c r="I43" s="23"/>
      <c r="J43" s="13"/>
      <c r="K43" s="13"/>
      <c r="L43" s="13"/>
      <c r="M43" s="2"/>
    </row>
    <row r="44" spans="3:13" ht="17.399999999999999" customHeight="1">
      <c r="C44" s="18"/>
      <c r="D44" s="2"/>
      <c r="E44" s="23"/>
      <c r="F44" s="17"/>
      <c r="G44" s="17"/>
      <c r="H44" s="13"/>
      <c r="I44" s="23"/>
      <c r="J44" s="13"/>
      <c r="K44" s="13"/>
      <c r="L44" s="13"/>
      <c r="M44" s="2"/>
    </row>
    <row r="45" spans="3:13" ht="8.4" customHeight="1">
      <c r="C45" s="18"/>
      <c r="D45" s="2"/>
      <c r="E45" s="23"/>
      <c r="F45" s="17"/>
      <c r="G45" s="17"/>
      <c r="H45" s="13"/>
      <c r="I45" s="23"/>
      <c r="J45" s="13"/>
      <c r="K45" s="13"/>
      <c r="L45" s="13"/>
      <c r="M45" s="2"/>
    </row>
    <row r="46" spans="3:13" ht="19.95" customHeight="1">
      <c r="C46" s="18"/>
      <c r="D46" s="2"/>
      <c r="E46" s="65" t="str">
        <f>CONCATENATE("Des questions ?", CHAR(10),"Envoyez un e-mail à ",Parameters!E12,CHAR(10),"ou appellez-nous au ",Parameters!E11)</f>
        <v>Des questions ?
Envoyez un e-mail à moulololeden@gmail.com
ou appellez-nous au 06 11 22 33 44</v>
      </c>
      <c r="F46" s="65"/>
      <c r="G46" s="65"/>
      <c r="H46" s="65"/>
      <c r="I46" s="65"/>
      <c r="J46" s="65"/>
      <c r="K46" s="65"/>
      <c r="L46" s="65"/>
      <c r="M46" s="2"/>
    </row>
    <row r="47" spans="3:13" ht="19.95" customHeight="1">
      <c r="C47" s="18"/>
      <c r="D47" s="2"/>
      <c r="E47" s="65"/>
      <c r="F47" s="65"/>
      <c r="G47" s="65"/>
      <c r="H47" s="65"/>
      <c r="I47" s="65"/>
      <c r="J47" s="65"/>
      <c r="K47" s="65"/>
      <c r="L47" s="65"/>
      <c r="M47" s="2"/>
    </row>
    <row r="48" spans="3:13" ht="19.95" customHeight="1">
      <c r="C48" s="18"/>
      <c r="D48" s="2"/>
      <c r="E48" s="65"/>
      <c r="F48" s="65"/>
      <c r="G48" s="65"/>
      <c r="H48" s="65"/>
      <c r="I48" s="65"/>
      <c r="J48" s="65"/>
      <c r="K48" s="65"/>
      <c r="L48" s="65"/>
      <c r="M48" s="2"/>
    </row>
    <row r="49" spans="3:13" ht="19.95" customHeight="1">
      <c r="C49" s="18"/>
      <c r="D49" s="2"/>
      <c r="E49" s="65"/>
      <c r="F49" s="65"/>
      <c r="G49" s="65"/>
      <c r="H49" s="65"/>
      <c r="I49" s="65"/>
      <c r="J49" s="65"/>
      <c r="K49" s="65"/>
      <c r="L49" s="65"/>
      <c r="M49" s="2"/>
    </row>
    <row r="50" spans="3:13" ht="22.2" customHeight="1">
      <c r="C50" s="18"/>
      <c r="D50" s="2"/>
      <c r="E50" s="23"/>
      <c r="F50" s="17"/>
      <c r="G50" s="17"/>
      <c r="H50" s="13"/>
      <c r="I50" s="23"/>
      <c r="J50" s="13"/>
      <c r="K50" s="13"/>
      <c r="L50" s="13"/>
      <c r="M50" s="2"/>
    </row>
    <row r="51" spans="3:13" ht="13.8" customHeight="1">
      <c r="C51" s="18"/>
      <c r="D51" s="2"/>
      <c r="E51" s="23"/>
      <c r="F51" s="17"/>
      <c r="G51" s="17"/>
      <c r="H51" s="13"/>
      <c r="I51" s="23"/>
      <c r="J51" s="13"/>
      <c r="K51" s="13"/>
      <c r="L51" s="13"/>
      <c r="M51" s="2"/>
    </row>
    <row r="52" spans="3:13" ht="19.95" customHeight="1">
      <c r="C52" s="18"/>
      <c r="D52" s="2"/>
      <c r="E52" s="64" t="str">
        <f>CONCATENATE(Parameters!E10," - ",Parameters!E13)</f>
        <v>41, rue Desaix 75012 Paris - https://www.datascienceportfol.io/mouloloden</v>
      </c>
      <c r="F52" s="64"/>
      <c r="G52" s="64"/>
      <c r="H52" s="64"/>
      <c r="I52" s="64"/>
      <c r="J52" s="64"/>
      <c r="K52" s="64"/>
      <c r="L52" s="64"/>
      <c r="M52" s="2"/>
    </row>
    <row r="53" spans="3:13" ht="12.6" customHeight="1">
      <c r="C53" s="18"/>
      <c r="D53" s="2"/>
      <c r="E53" s="23"/>
      <c r="F53" s="17"/>
      <c r="G53" s="17"/>
      <c r="H53" s="13"/>
      <c r="I53" s="23"/>
      <c r="J53" s="13"/>
      <c r="K53" s="13"/>
      <c r="L53" s="13"/>
      <c r="M53" s="2"/>
    </row>
    <row r="59" spans="3:13">
      <c r="H59" s="1" t="str">
        <f>CHAR(13)</f>
        <v>_x000D_</v>
      </c>
    </row>
  </sheetData>
  <mergeCells count="44">
    <mergeCell ref="J34:L34"/>
    <mergeCell ref="J35:L35"/>
    <mergeCell ref="J36:L36"/>
    <mergeCell ref="G36:I36"/>
    <mergeCell ref="G35:I35"/>
    <mergeCell ref="G34:I34"/>
    <mergeCell ref="F31:G31"/>
    <mergeCell ref="F32:G32"/>
    <mergeCell ref="J23:L23"/>
    <mergeCell ref="J24:L24"/>
    <mergeCell ref="J25:L25"/>
    <mergeCell ref="J26:L26"/>
    <mergeCell ref="J27:L27"/>
    <mergeCell ref="J28:L28"/>
    <mergeCell ref="J29:L29"/>
    <mergeCell ref="J30:L30"/>
    <mergeCell ref="J31:L31"/>
    <mergeCell ref="J32:L32"/>
    <mergeCell ref="F26:G26"/>
    <mergeCell ref="F27:G27"/>
    <mergeCell ref="F28:G28"/>
    <mergeCell ref="F29:G29"/>
    <mergeCell ref="F30:G30"/>
    <mergeCell ref="J21:L21"/>
    <mergeCell ref="J22:L22"/>
    <mergeCell ref="F23:G23"/>
    <mergeCell ref="F24:G24"/>
    <mergeCell ref="F25:G25"/>
    <mergeCell ref="E52:L52"/>
    <mergeCell ref="E46:L49"/>
    <mergeCell ref="J8:L8"/>
    <mergeCell ref="J9:L9"/>
    <mergeCell ref="E14:G14"/>
    <mergeCell ref="E15:G15"/>
    <mergeCell ref="E16:G16"/>
    <mergeCell ref="I14:K14"/>
    <mergeCell ref="I15:K15"/>
    <mergeCell ref="I16:K16"/>
    <mergeCell ref="F19:G19"/>
    <mergeCell ref="J19:L19"/>
    <mergeCell ref="F20:G20"/>
    <mergeCell ref="F21:G21"/>
    <mergeCell ref="F22:G22"/>
    <mergeCell ref="J20:L20"/>
  </mergeCells>
  <dataValidations count="2">
    <dataValidation type="list" allowBlank="1" showInputMessage="1" showErrorMessage="1" sqref="I14:K14" xr:uid="{6019EFBE-6B03-43DE-AE68-C9501AFFC630}">
      <formula1>INDIRECT("Clients[Nom]")</formula1>
    </dataValidation>
    <dataValidation type="list" allowBlank="1" showInputMessage="1" showErrorMessage="1" sqref="F20:G32" xr:uid="{E120EA09-F77E-46AC-A1AF-C3667B2E099C}">
      <formula1>INDIRECT("Produits[DÉSIGNATION]")</formula1>
    </dataValidation>
  </dataValidations>
  <printOptions horizontalCentered="1" verticalCentered="1"/>
  <pageMargins left="0.25" right="0.25" top="0.25" bottom="0.25" header="0.3" footer="0.3"/>
  <pageSetup paperSize="9"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7B2B4-5EDE-4E7F-8FB2-CDA95F84CD7C}">
  <sheetPr codeName="Feuil2"/>
  <dimension ref="A1:AB59"/>
  <sheetViews>
    <sheetView zoomScale="80" zoomScaleNormal="80" workbookViewId="0">
      <selection activeCell="I14" sqref="I14:K14"/>
    </sheetView>
  </sheetViews>
  <sheetFormatPr baseColWidth="10" defaultColWidth="8.88671875" defaultRowHeight="14.4"/>
  <cols>
    <col min="1" max="2" width="8.88671875" style="1"/>
    <col min="3" max="3" width="3.77734375" style="1" customWidth="1"/>
    <col min="4" max="4" width="5.5546875" style="1" customWidth="1"/>
    <col min="5" max="5" width="13.33203125" style="1" customWidth="1"/>
    <col min="6" max="6" width="13.109375" style="1" customWidth="1"/>
    <col min="7" max="7" width="10" style="1" customWidth="1"/>
    <col min="8" max="8" width="14.33203125" style="1" customWidth="1"/>
    <col min="9" max="9" width="11.21875" style="1" customWidth="1"/>
    <col min="10" max="10" width="7.109375" style="1" customWidth="1"/>
    <col min="11" max="11" width="9.5546875" style="1" customWidth="1"/>
    <col min="12" max="12" width="5.33203125" style="1" customWidth="1"/>
    <col min="13" max="13" width="5.44140625" style="1" customWidth="1"/>
    <col min="14" max="16384" width="8.88671875" style="1"/>
  </cols>
  <sheetData>
    <row r="1" spans="1:28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 ht="10.8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6" spans="1:28">
      <c r="C6" s="18"/>
      <c r="D6" s="2"/>
      <c r="E6" s="2"/>
      <c r="F6" s="2"/>
      <c r="G6" s="2"/>
      <c r="H6" s="2"/>
      <c r="I6" s="2"/>
      <c r="J6" s="2"/>
      <c r="K6" s="2"/>
      <c r="L6" s="2"/>
      <c r="M6" s="2"/>
    </row>
    <row r="7" spans="1:28">
      <c r="C7" s="18"/>
      <c r="D7" s="2"/>
      <c r="E7" s="2"/>
      <c r="F7" s="2"/>
      <c r="G7" s="2"/>
      <c r="H7" s="2"/>
      <c r="I7" s="2"/>
      <c r="J7" s="2"/>
      <c r="K7" s="2"/>
      <c r="L7" s="2"/>
      <c r="M7" s="2"/>
    </row>
    <row r="8" spans="1:28" ht="16.8">
      <c r="C8" s="18"/>
      <c r="D8" s="2"/>
      <c r="E8" s="2"/>
      <c r="F8" s="2"/>
      <c r="G8" s="2"/>
      <c r="H8" s="2"/>
      <c r="I8" s="19" t="s">
        <v>117</v>
      </c>
      <c r="J8" s="66">
        <f ca="1">TODAY()</f>
        <v>45613</v>
      </c>
      <c r="K8" s="67"/>
      <c r="L8" s="67"/>
      <c r="M8" s="2"/>
    </row>
    <row r="9" spans="1:28" ht="16.8">
      <c r="C9" s="18"/>
      <c r="D9" s="2"/>
      <c r="E9" s="2"/>
      <c r="F9" s="2"/>
      <c r="G9" s="2"/>
      <c r="H9" s="2"/>
      <c r="I9" s="3" t="s">
        <v>118</v>
      </c>
      <c r="J9" s="68" t="s">
        <v>152</v>
      </c>
      <c r="K9" s="68"/>
      <c r="L9" s="68"/>
      <c r="M9" s="2"/>
    </row>
    <row r="10" spans="1:28" ht="16.8">
      <c r="C10" s="18"/>
      <c r="D10" s="2"/>
      <c r="E10" s="2"/>
      <c r="F10" s="2"/>
      <c r="G10" s="2"/>
      <c r="H10" s="2"/>
      <c r="I10" s="3"/>
      <c r="J10" s="16"/>
      <c r="K10" s="16"/>
      <c r="L10" s="16"/>
      <c r="M10" s="2"/>
    </row>
    <row r="11" spans="1:28">
      <c r="C11" s="18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28">
      <c r="C12" s="18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28">
      <c r="C13" s="18"/>
      <c r="D13" s="2"/>
      <c r="E13" s="2"/>
      <c r="F13" s="2"/>
      <c r="G13" s="2"/>
      <c r="H13" s="2"/>
      <c r="I13" s="20"/>
      <c r="J13" s="20"/>
      <c r="K13" s="20"/>
      <c r="L13" s="2"/>
      <c r="M13" s="2"/>
    </row>
    <row r="14" spans="1:28" ht="17.399999999999999">
      <c r="C14" s="18"/>
      <c r="D14" s="2"/>
      <c r="E14" s="69" t="str">
        <f>Parameters!E9</f>
        <v>MouloloEden</v>
      </c>
      <c r="F14" s="69"/>
      <c r="G14" s="69"/>
      <c r="H14" s="2"/>
      <c r="I14" s="69" t="s">
        <v>67</v>
      </c>
      <c r="J14" s="69"/>
      <c r="K14" s="69"/>
      <c r="L14" s="14"/>
      <c r="M14" s="2"/>
    </row>
    <row r="15" spans="1:28" ht="18" customHeight="1">
      <c r="C15" s="18"/>
      <c r="D15" s="2"/>
      <c r="E15" s="67" t="str">
        <f>Parameters!E10</f>
        <v>41, rue Desaix 75012 Paris</v>
      </c>
      <c r="F15" s="67"/>
      <c r="G15" s="67"/>
      <c r="H15" s="2"/>
      <c r="I15" s="67" t="str">
        <f>IFERROR(VLOOKUP(I14,Clients[],2,FALSE),"")</f>
        <v>88 av. Verdier 92120 Montrouge</v>
      </c>
      <c r="J15" s="67"/>
      <c r="K15" s="67"/>
      <c r="L15" s="15"/>
      <c r="M15" s="2"/>
    </row>
    <row r="16" spans="1:28" ht="18" customHeight="1">
      <c r="C16" s="18"/>
      <c r="D16" s="2"/>
      <c r="E16" s="67" t="str">
        <f>Parameters!E11</f>
        <v>06 11 22 33 44</v>
      </c>
      <c r="F16" s="67"/>
      <c r="G16" s="67"/>
      <c r="H16" s="2"/>
      <c r="I16" s="67" t="str">
        <f>IFERROR(VLOOKUP(I14,Clients[],3,FALSE),"")</f>
        <v>01 41 17 67 18</v>
      </c>
      <c r="J16" s="67"/>
      <c r="K16" s="67"/>
      <c r="L16" s="2"/>
      <c r="M16" s="2"/>
    </row>
    <row r="17" spans="3:13">
      <c r="C17" s="18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3:13">
      <c r="C18" s="18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3:13" ht="19.95" customHeight="1">
      <c r="C19" s="18"/>
      <c r="D19" s="2"/>
      <c r="E19" s="21" t="s">
        <v>119</v>
      </c>
      <c r="F19" s="70" t="s">
        <v>120</v>
      </c>
      <c r="G19" s="70"/>
      <c r="H19" s="30" t="s">
        <v>1</v>
      </c>
      <c r="I19" s="30" t="s">
        <v>121</v>
      </c>
      <c r="J19" s="70" t="s">
        <v>122</v>
      </c>
      <c r="K19" s="70"/>
      <c r="L19" s="70"/>
      <c r="M19" s="2"/>
    </row>
    <row r="20" spans="3:13" ht="19.95" customHeight="1">
      <c r="C20" s="18"/>
      <c r="D20" s="2"/>
      <c r="E20" s="29" t="str">
        <f>IFERROR(VLOOKUP(F20,Produits[],2,FALSE),"")</f>
        <v>E2</v>
      </c>
      <c r="F20" s="64" t="s">
        <v>107</v>
      </c>
      <c r="G20" s="64"/>
      <c r="H20" s="13">
        <f>IFERROR(VLOOKUP(F20,Produits[],3,FALSE),"")</f>
        <v>229</v>
      </c>
      <c r="I20" s="29">
        <v>7</v>
      </c>
      <c r="J20" s="72">
        <f>IFERROR(H20*I20,"")</f>
        <v>1603</v>
      </c>
      <c r="K20" s="72"/>
      <c r="L20" s="72"/>
      <c r="M20" s="2"/>
    </row>
    <row r="21" spans="3:13" ht="19.95" customHeight="1">
      <c r="C21" s="18"/>
      <c r="D21" s="2"/>
      <c r="E21" s="27" t="str">
        <f>IFERROR(VLOOKUP(F21,Produits[],2,FALSE),"")</f>
        <v>C3</v>
      </c>
      <c r="F21" s="71" t="s">
        <v>58</v>
      </c>
      <c r="G21" s="71"/>
      <c r="H21" s="22">
        <f>IFERROR(VLOOKUP(F21,Produits[],3,FALSE),"")</f>
        <v>579</v>
      </c>
      <c r="I21" s="27">
        <v>2</v>
      </c>
      <c r="J21" s="73">
        <f t="shared" ref="J21:J32" si="0">IFERROR(H21*I21,"")</f>
        <v>1158</v>
      </c>
      <c r="K21" s="73"/>
      <c r="L21" s="73"/>
      <c r="M21" s="2"/>
    </row>
    <row r="22" spans="3:13" ht="19.95" customHeight="1">
      <c r="C22" s="18"/>
      <c r="D22" s="2"/>
      <c r="E22" s="29" t="str">
        <f>IFERROR(VLOOKUP(F22,Produits[],2,FALSE),"")</f>
        <v/>
      </c>
      <c r="F22" s="64"/>
      <c r="G22" s="64"/>
      <c r="H22" s="13" t="str">
        <f>IFERROR(VLOOKUP(F22,Produits[],3,FALSE),"")</f>
        <v/>
      </c>
      <c r="I22" s="29"/>
      <c r="J22" s="72" t="str">
        <f t="shared" si="0"/>
        <v/>
      </c>
      <c r="K22" s="72"/>
      <c r="L22" s="72"/>
      <c r="M22" s="2"/>
    </row>
    <row r="23" spans="3:13" ht="19.95" customHeight="1">
      <c r="C23" s="18"/>
      <c r="D23" s="2"/>
      <c r="E23" s="27" t="str">
        <f>IFERROR(VLOOKUP(F23,Produits[],2,FALSE),"")</f>
        <v/>
      </c>
      <c r="F23" s="71"/>
      <c r="G23" s="71"/>
      <c r="H23" s="22" t="str">
        <f>IFERROR(VLOOKUP(F23,Produits[],3,FALSE),"")</f>
        <v/>
      </c>
      <c r="I23" s="27"/>
      <c r="J23" s="73" t="str">
        <f t="shared" si="0"/>
        <v/>
      </c>
      <c r="K23" s="73"/>
      <c r="L23" s="73"/>
      <c r="M23" s="2"/>
    </row>
    <row r="24" spans="3:13" ht="19.95" customHeight="1">
      <c r="C24" s="18"/>
      <c r="D24" s="2"/>
      <c r="E24" s="29" t="str">
        <f>IFERROR(VLOOKUP(F24,Produits[],2,FALSE),"")</f>
        <v/>
      </c>
      <c r="F24" s="64"/>
      <c r="G24" s="64"/>
      <c r="H24" s="13" t="str">
        <f>IFERROR(VLOOKUP(F24,Produits[],3,FALSE),"")</f>
        <v/>
      </c>
      <c r="I24" s="29"/>
      <c r="J24" s="72" t="str">
        <f t="shared" si="0"/>
        <v/>
      </c>
      <c r="K24" s="72"/>
      <c r="L24" s="72"/>
      <c r="M24" s="2"/>
    </row>
    <row r="25" spans="3:13" ht="19.95" customHeight="1">
      <c r="C25" s="18"/>
      <c r="D25" s="2"/>
      <c r="E25" s="27" t="str">
        <f>IFERROR(VLOOKUP(F25,Produits[],2,FALSE),"")</f>
        <v/>
      </c>
      <c r="F25" s="71"/>
      <c r="G25" s="71"/>
      <c r="H25" s="22" t="str">
        <f>IFERROR(VLOOKUP(F25,Produits[],3,FALSE),"")</f>
        <v/>
      </c>
      <c r="I25" s="27"/>
      <c r="J25" s="73" t="str">
        <f t="shared" si="0"/>
        <v/>
      </c>
      <c r="K25" s="73"/>
      <c r="L25" s="73"/>
      <c r="M25" s="2"/>
    </row>
    <row r="26" spans="3:13" ht="19.95" customHeight="1">
      <c r="C26" s="18"/>
      <c r="D26" s="2"/>
      <c r="E26" s="29" t="str">
        <f>IFERROR(VLOOKUP(F26,Produits[],2,FALSE),"")</f>
        <v/>
      </c>
      <c r="F26" s="64"/>
      <c r="G26" s="64"/>
      <c r="H26" s="13" t="str">
        <f>IFERROR(VLOOKUP(F26,Produits[],3,FALSE),"")</f>
        <v/>
      </c>
      <c r="I26" s="29"/>
      <c r="J26" s="72" t="str">
        <f t="shared" si="0"/>
        <v/>
      </c>
      <c r="K26" s="72"/>
      <c r="L26" s="72"/>
      <c r="M26" s="2"/>
    </row>
    <row r="27" spans="3:13" ht="19.95" customHeight="1">
      <c r="C27" s="18"/>
      <c r="D27" s="2"/>
      <c r="E27" s="27" t="str">
        <f>IFERROR(VLOOKUP(F27,Produits[],2,FALSE),"")</f>
        <v/>
      </c>
      <c r="F27" s="71"/>
      <c r="G27" s="71"/>
      <c r="H27" s="22" t="str">
        <f>IFERROR(VLOOKUP(F27,Produits[],3,FALSE),"")</f>
        <v/>
      </c>
      <c r="I27" s="27"/>
      <c r="J27" s="73" t="str">
        <f t="shared" si="0"/>
        <v/>
      </c>
      <c r="K27" s="73"/>
      <c r="L27" s="73"/>
      <c r="M27" s="2"/>
    </row>
    <row r="28" spans="3:13" ht="19.95" customHeight="1">
      <c r="C28" s="18"/>
      <c r="D28" s="2"/>
      <c r="E28" s="29" t="str">
        <f>IFERROR(VLOOKUP(F28,Produits[],2,FALSE),"")</f>
        <v/>
      </c>
      <c r="F28" s="64"/>
      <c r="G28" s="64"/>
      <c r="H28" s="13" t="str">
        <f>IFERROR(VLOOKUP(F28,Produits[],3,FALSE),"")</f>
        <v/>
      </c>
      <c r="I28" s="29"/>
      <c r="J28" s="72" t="str">
        <f t="shared" si="0"/>
        <v/>
      </c>
      <c r="K28" s="72"/>
      <c r="L28" s="72"/>
      <c r="M28" s="2"/>
    </row>
    <row r="29" spans="3:13" ht="19.95" customHeight="1">
      <c r="C29" s="18"/>
      <c r="D29" s="2"/>
      <c r="E29" s="27" t="str">
        <f>IFERROR(VLOOKUP(F29,Produits[],2,FALSE),"")</f>
        <v/>
      </c>
      <c r="F29" s="71"/>
      <c r="G29" s="71"/>
      <c r="H29" s="22" t="str">
        <f>IFERROR(VLOOKUP(F29,Produits[],3,FALSE),"")</f>
        <v/>
      </c>
      <c r="I29" s="27"/>
      <c r="J29" s="73" t="str">
        <f t="shared" si="0"/>
        <v/>
      </c>
      <c r="K29" s="73"/>
      <c r="L29" s="73"/>
      <c r="M29" s="2"/>
    </row>
    <row r="30" spans="3:13" ht="19.95" customHeight="1">
      <c r="C30" s="18"/>
      <c r="D30" s="2"/>
      <c r="E30" s="29" t="str">
        <f>IFERROR(VLOOKUP(F30,Produits[],2,FALSE),"")</f>
        <v/>
      </c>
      <c r="F30" s="64"/>
      <c r="G30" s="64"/>
      <c r="H30" s="13" t="str">
        <f>IFERROR(VLOOKUP(F30,Produits[],3,FALSE),"")</f>
        <v/>
      </c>
      <c r="I30" s="29"/>
      <c r="J30" s="72" t="str">
        <f t="shared" si="0"/>
        <v/>
      </c>
      <c r="K30" s="72"/>
      <c r="L30" s="72"/>
      <c r="M30" s="2"/>
    </row>
    <row r="31" spans="3:13" ht="19.95" customHeight="1">
      <c r="C31" s="18"/>
      <c r="D31" s="2"/>
      <c r="E31" s="27" t="str">
        <f>IFERROR(VLOOKUP(F31,Produits[],2,FALSE),"")</f>
        <v/>
      </c>
      <c r="F31" s="71"/>
      <c r="G31" s="71"/>
      <c r="H31" s="22" t="str">
        <f>IFERROR(VLOOKUP(F31,Produits[],3,FALSE),"")</f>
        <v/>
      </c>
      <c r="I31" s="27"/>
      <c r="J31" s="73" t="str">
        <f t="shared" si="0"/>
        <v/>
      </c>
      <c r="K31" s="73"/>
      <c r="L31" s="73"/>
      <c r="M31" s="2"/>
    </row>
    <row r="32" spans="3:13" ht="18" customHeight="1">
      <c r="C32" s="18"/>
      <c r="D32" s="2"/>
      <c r="E32" s="28" t="str">
        <f>IFERROR(VLOOKUP(F32,Produits[],2,FALSE),"")</f>
        <v/>
      </c>
      <c r="F32" s="74"/>
      <c r="G32" s="74"/>
      <c r="H32" s="12" t="str">
        <f>IFERROR(VLOOKUP(F32,Produits[],3,FALSE),"")</f>
        <v/>
      </c>
      <c r="I32" s="28"/>
      <c r="J32" s="75" t="str">
        <f t="shared" si="0"/>
        <v/>
      </c>
      <c r="K32" s="75"/>
      <c r="L32" s="75"/>
      <c r="M32" s="2"/>
    </row>
    <row r="33" spans="3:13" ht="10.8" customHeight="1">
      <c r="C33" s="18"/>
      <c r="D33" s="2"/>
      <c r="E33" s="29"/>
      <c r="F33" s="17"/>
      <c r="G33" s="17"/>
      <c r="H33" s="13"/>
      <c r="I33" s="29"/>
      <c r="J33" s="13"/>
      <c r="K33" s="13"/>
      <c r="L33" s="13"/>
      <c r="M33" s="2"/>
    </row>
    <row r="34" spans="3:13" ht="19.95" customHeight="1">
      <c r="C34" s="18"/>
      <c r="D34" s="2"/>
      <c r="E34" s="29"/>
      <c r="F34" s="17"/>
      <c r="G34" s="77" t="s">
        <v>123</v>
      </c>
      <c r="H34" s="77"/>
      <c r="I34" s="77"/>
      <c r="J34" s="72">
        <f>IFERROR(SUM(J20:L32),"")</f>
        <v>2761</v>
      </c>
      <c r="K34" s="72"/>
      <c r="L34" s="72"/>
      <c r="M34" s="2"/>
    </row>
    <row r="35" spans="3:13" ht="19.95" customHeight="1">
      <c r="C35" s="18"/>
      <c r="D35" s="2"/>
      <c r="E35" s="29"/>
      <c r="F35" s="17"/>
      <c r="G35" s="77" t="s">
        <v>124</v>
      </c>
      <c r="H35" s="77"/>
      <c r="I35" s="77"/>
      <c r="J35" s="72">
        <f>J34*20%</f>
        <v>552.20000000000005</v>
      </c>
      <c r="K35" s="72"/>
      <c r="L35" s="72"/>
      <c r="M35" s="2"/>
    </row>
    <row r="36" spans="3:13" ht="19.95" customHeight="1">
      <c r="C36" s="18"/>
      <c r="D36" s="2"/>
      <c r="E36" s="29"/>
      <c r="F36" s="17"/>
      <c r="G36" s="76" t="s">
        <v>125</v>
      </c>
      <c r="H36" s="76"/>
      <c r="I36" s="76"/>
      <c r="J36" s="72">
        <f>J34+J35</f>
        <v>3313.2</v>
      </c>
      <c r="K36" s="72"/>
      <c r="L36" s="72"/>
      <c r="M36" s="2"/>
    </row>
    <row r="37" spans="3:13" ht="17.399999999999999" customHeight="1">
      <c r="C37" s="18"/>
      <c r="D37" s="2"/>
      <c r="E37" s="29"/>
      <c r="F37" s="17"/>
      <c r="G37" s="17"/>
      <c r="H37" s="13"/>
      <c r="I37" s="29"/>
      <c r="J37" s="13"/>
      <c r="K37" s="13"/>
      <c r="L37" s="13"/>
      <c r="M37" s="2"/>
    </row>
    <row r="38" spans="3:13" ht="12" customHeight="1">
      <c r="C38" s="18"/>
      <c r="D38" s="2"/>
      <c r="E38" s="29"/>
      <c r="F38" s="17"/>
      <c r="G38" s="17"/>
      <c r="H38" s="13"/>
      <c r="I38" s="29"/>
      <c r="J38" s="13"/>
      <c r="K38" s="13"/>
      <c r="L38" s="13"/>
      <c r="M38" s="2"/>
    </row>
    <row r="39" spans="3:13" ht="14.4" customHeight="1">
      <c r="C39" s="18"/>
      <c r="D39" s="2"/>
      <c r="E39" s="29"/>
      <c r="F39" s="17"/>
      <c r="G39" s="17"/>
      <c r="H39" s="13"/>
      <c r="I39" s="29"/>
      <c r="J39" s="13"/>
      <c r="K39" s="13"/>
      <c r="L39" s="13"/>
      <c r="M39" s="2"/>
    </row>
    <row r="40" spans="3:13" ht="10.8" customHeight="1">
      <c r="C40" s="18"/>
      <c r="D40" s="2"/>
      <c r="E40" s="29"/>
      <c r="F40" s="17"/>
      <c r="G40" s="17"/>
      <c r="H40" s="13"/>
      <c r="I40" s="29"/>
      <c r="J40" s="13"/>
      <c r="K40" s="13"/>
      <c r="L40" s="13"/>
      <c r="M40" s="2"/>
    </row>
    <row r="41" spans="3:13" ht="14.4" customHeight="1">
      <c r="C41" s="18"/>
      <c r="D41" s="2"/>
      <c r="E41" s="29"/>
      <c r="F41" s="17"/>
      <c r="G41" s="17"/>
      <c r="H41" s="13"/>
      <c r="I41" s="29"/>
      <c r="J41" s="13"/>
      <c r="K41" s="13"/>
      <c r="L41" s="13"/>
      <c r="M41" s="2"/>
    </row>
    <row r="42" spans="3:13" ht="9" customHeight="1">
      <c r="C42" s="18"/>
      <c r="D42" s="2"/>
      <c r="E42" s="29"/>
      <c r="F42" s="17"/>
      <c r="G42" s="17"/>
      <c r="H42" s="13"/>
      <c r="I42" s="29"/>
      <c r="J42" s="13"/>
      <c r="K42" s="13"/>
      <c r="L42" s="13"/>
      <c r="M42" s="2"/>
    </row>
    <row r="43" spans="3:13" ht="11.4" customHeight="1">
      <c r="C43" s="18"/>
      <c r="D43" s="2"/>
      <c r="E43" s="29"/>
      <c r="F43" s="17"/>
      <c r="G43" s="17"/>
      <c r="H43" s="13"/>
      <c r="I43" s="29"/>
      <c r="J43" s="13"/>
      <c r="K43" s="13"/>
      <c r="L43" s="13"/>
      <c r="M43" s="2"/>
    </row>
    <row r="44" spans="3:13" ht="17.399999999999999" customHeight="1">
      <c r="C44" s="18"/>
      <c r="D44" s="2"/>
      <c r="E44" s="29"/>
      <c r="F44" s="17"/>
      <c r="G44" s="17"/>
      <c r="H44" s="13"/>
      <c r="I44" s="29"/>
      <c r="J44" s="13"/>
      <c r="K44" s="13"/>
      <c r="L44" s="13"/>
      <c r="M44" s="2"/>
    </row>
    <row r="45" spans="3:13" ht="8.4" customHeight="1">
      <c r="C45" s="18"/>
      <c r="D45" s="2"/>
      <c r="E45" s="29"/>
      <c r="F45" s="17"/>
      <c r="G45" s="17"/>
      <c r="H45" s="13"/>
      <c r="I45" s="29"/>
      <c r="J45" s="13"/>
      <c r="K45" s="13"/>
      <c r="L45" s="13"/>
      <c r="M45" s="2"/>
    </row>
    <row r="46" spans="3:13" ht="12" customHeight="1">
      <c r="C46" s="18"/>
      <c r="D46" s="2"/>
      <c r="E46" s="65" t="str">
        <f>CONCATENATE("Des questions ?", CHAR(10),"Envoyez un e-mail à ",Parameters!E12,CHAR(10),"ou appellez-nous au ",Parameters!E11)</f>
        <v>Des questions ?
Envoyez un e-mail à moulololeden@gmail.com
ou appellez-nous au 06 11 22 33 44</v>
      </c>
      <c r="F46" s="65"/>
      <c r="G46" s="65"/>
      <c r="H46" s="65"/>
      <c r="I46" s="65"/>
      <c r="J46" s="65"/>
      <c r="K46" s="65"/>
      <c r="L46" s="65"/>
      <c r="M46" s="2"/>
    </row>
    <row r="47" spans="3:13" ht="19.95" customHeight="1">
      <c r="C47" s="18"/>
      <c r="D47" s="2"/>
      <c r="E47" s="65"/>
      <c r="F47" s="65"/>
      <c r="G47" s="65"/>
      <c r="H47" s="65"/>
      <c r="I47" s="65"/>
      <c r="J47" s="65"/>
      <c r="K47" s="65"/>
      <c r="L47" s="65"/>
      <c r="M47" s="2"/>
    </row>
    <row r="48" spans="3:13" ht="19.95" customHeight="1">
      <c r="C48" s="18"/>
      <c r="D48" s="2"/>
      <c r="E48" s="65"/>
      <c r="F48" s="65"/>
      <c r="G48" s="65"/>
      <c r="H48" s="65"/>
      <c r="I48" s="65"/>
      <c r="J48" s="65"/>
      <c r="K48" s="65"/>
      <c r="L48" s="65"/>
      <c r="M48" s="2"/>
    </row>
    <row r="49" spans="3:13" ht="19.95" customHeight="1">
      <c r="C49" s="18"/>
      <c r="D49" s="2"/>
      <c r="E49" s="65"/>
      <c r="F49" s="65"/>
      <c r="G49" s="65"/>
      <c r="H49" s="65"/>
      <c r="I49" s="65"/>
      <c r="J49" s="65"/>
      <c r="K49" s="65"/>
      <c r="L49" s="65"/>
      <c r="M49" s="2"/>
    </row>
    <row r="50" spans="3:13" ht="14.4" customHeight="1">
      <c r="C50" s="18"/>
      <c r="D50" s="2"/>
      <c r="E50" s="29"/>
      <c r="F50" s="17"/>
      <c r="G50" s="17"/>
      <c r="H50" s="13"/>
      <c r="I50" s="29"/>
      <c r="J50" s="13"/>
      <c r="K50" s="13"/>
      <c r="L50" s="13"/>
      <c r="M50" s="2"/>
    </row>
    <row r="51" spans="3:13" ht="13.8" customHeight="1">
      <c r="C51" s="18"/>
      <c r="D51" s="2"/>
      <c r="E51" s="29"/>
      <c r="F51" s="17"/>
      <c r="G51" s="17"/>
      <c r="H51" s="13"/>
      <c r="I51" s="29"/>
      <c r="J51" s="13"/>
      <c r="K51" s="13"/>
      <c r="L51" s="13"/>
      <c r="M51" s="2"/>
    </row>
    <row r="52" spans="3:13" ht="19.95" customHeight="1">
      <c r="C52" s="18"/>
      <c r="D52" s="2"/>
      <c r="E52" s="64" t="str">
        <f>CONCATENATE(Parameters!E10," - ",Parameters!E13)</f>
        <v>41, rue Desaix 75012 Paris - https://www.datascienceportfol.io/mouloloden</v>
      </c>
      <c r="F52" s="64"/>
      <c r="G52" s="64"/>
      <c r="H52" s="64"/>
      <c r="I52" s="64"/>
      <c r="J52" s="64"/>
      <c r="K52" s="64"/>
      <c r="L52" s="64"/>
      <c r="M52" s="2"/>
    </row>
    <row r="53" spans="3:13" ht="12.6" customHeight="1">
      <c r="C53" s="18"/>
      <c r="D53" s="2"/>
      <c r="E53" s="29"/>
      <c r="F53" s="17"/>
      <c r="G53" s="17"/>
      <c r="H53" s="13"/>
      <c r="I53" s="29"/>
      <c r="J53" s="13"/>
      <c r="K53" s="13"/>
      <c r="L53" s="13"/>
      <c r="M53" s="2"/>
    </row>
    <row r="59" spans="3:13">
      <c r="H59" s="1" t="str">
        <f>CHAR(13)</f>
        <v>_x000D_</v>
      </c>
    </row>
  </sheetData>
  <mergeCells count="44">
    <mergeCell ref="E46:L49"/>
    <mergeCell ref="E52:L52"/>
    <mergeCell ref="G34:I34"/>
    <mergeCell ref="J34:L34"/>
    <mergeCell ref="G35:I35"/>
    <mergeCell ref="J35:L35"/>
    <mergeCell ref="G36:I36"/>
    <mergeCell ref="J36:L36"/>
    <mergeCell ref="F30:G30"/>
    <mergeCell ref="J30:L30"/>
    <mergeCell ref="F31:G31"/>
    <mergeCell ref="J31:L31"/>
    <mergeCell ref="F32:G32"/>
    <mergeCell ref="J32:L32"/>
    <mergeCell ref="F27:G27"/>
    <mergeCell ref="J27:L27"/>
    <mergeCell ref="F28:G28"/>
    <mergeCell ref="J28:L28"/>
    <mergeCell ref="F29:G29"/>
    <mergeCell ref="J29:L29"/>
    <mergeCell ref="F24:G24"/>
    <mergeCell ref="J24:L24"/>
    <mergeCell ref="F25:G25"/>
    <mergeCell ref="J25:L25"/>
    <mergeCell ref="F26:G26"/>
    <mergeCell ref="J26:L26"/>
    <mergeCell ref="F21:G21"/>
    <mergeCell ref="J21:L21"/>
    <mergeCell ref="F22:G22"/>
    <mergeCell ref="J22:L22"/>
    <mergeCell ref="F23:G23"/>
    <mergeCell ref="J23:L23"/>
    <mergeCell ref="E16:G16"/>
    <mergeCell ref="I16:K16"/>
    <mergeCell ref="F19:G19"/>
    <mergeCell ref="J19:L19"/>
    <mergeCell ref="F20:G20"/>
    <mergeCell ref="J20:L20"/>
    <mergeCell ref="J8:L8"/>
    <mergeCell ref="J9:L9"/>
    <mergeCell ref="E14:G14"/>
    <mergeCell ref="I14:K14"/>
    <mergeCell ref="E15:G15"/>
    <mergeCell ref="I15:K15"/>
  </mergeCells>
  <dataValidations count="2">
    <dataValidation type="list" allowBlank="1" showInputMessage="1" showErrorMessage="1" sqref="F20:G32" xr:uid="{FA7AC514-881F-4BBD-8185-BC165283BCE9}">
      <formula1>INDIRECT("Produits[DÉSIGNATION]")</formula1>
    </dataValidation>
    <dataValidation type="list" allowBlank="1" showInputMessage="1" showErrorMessage="1" sqref="I14:K14" xr:uid="{D580FF0F-F33A-4B28-90F4-486F8421F09E}">
      <formula1>INDIRECT("Clients[Nom]")</formula1>
    </dataValidation>
  </dataValidations>
  <printOptions horizontalCentered="1" verticalCentered="1"/>
  <pageMargins left="0.25" right="0.25" top="0.25" bottom="0.2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83F78-871C-4122-9009-47F2FD0052FC}">
  <sheetPr codeName="Feuil4"/>
  <dimension ref="A1:AB59"/>
  <sheetViews>
    <sheetView zoomScale="80" zoomScaleNormal="80" workbookViewId="0">
      <selection activeCell="I14" sqref="I14:K14"/>
    </sheetView>
  </sheetViews>
  <sheetFormatPr baseColWidth="10" defaultColWidth="8.88671875" defaultRowHeight="14.4"/>
  <cols>
    <col min="1" max="2" width="8.88671875" style="1"/>
    <col min="3" max="3" width="3.77734375" style="1" customWidth="1"/>
    <col min="4" max="4" width="5.5546875" style="1" customWidth="1"/>
    <col min="5" max="5" width="12.44140625" style="1" customWidth="1"/>
    <col min="6" max="6" width="13.109375" style="1" customWidth="1"/>
    <col min="7" max="7" width="10" style="1" customWidth="1"/>
    <col min="8" max="8" width="14.33203125" style="1" customWidth="1"/>
    <col min="9" max="9" width="11.21875" style="1" customWidth="1"/>
    <col min="10" max="10" width="7.109375" style="1" customWidth="1"/>
    <col min="11" max="11" width="9.5546875" style="1" customWidth="1"/>
    <col min="12" max="12" width="5.33203125" style="1" customWidth="1"/>
    <col min="13" max="13" width="5.44140625" style="1" customWidth="1"/>
    <col min="14" max="16384" width="8.88671875" style="1"/>
  </cols>
  <sheetData>
    <row r="1" spans="1:28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 ht="10.8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6" spans="1:28">
      <c r="C6" s="18"/>
      <c r="D6" s="2"/>
      <c r="E6" s="2"/>
      <c r="F6" s="2"/>
      <c r="G6" s="2"/>
      <c r="H6" s="2"/>
      <c r="I6" s="2"/>
      <c r="J6" s="2"/>
      <c r="K6" s="2"/>
      <c r="L6" s="2"/>
      <c r="M6" s="2"/>
    </row>
    <row r="7" spans="1:28">
      <c r="C7" s="18"/>
      <c r="D7" s="2"/>
      <c r="E7" s="2"/>
      <c r="F7" s="2"/>
      <c r="G7" s="2"/>
      <c r="H7" s="2"/>
      <c r="I7" s="2"/>
      <c r="J7" s="2"/>
      <c r="K7" s="2"/>
      <c r="L7" s="2"/>
      <c r="M7" s="2"/>
    </row>
    <row r="8" spans="1:28" ht="16.8">
      <c r="C8" s="18"/>
      <c r="D8" s="2"/>
      <c r="E8" s="2"/>
      <c r="F8" s="2"/>
      <c r="G8" s="2"/>
      <c r="H8" s="2"/>
      <c r="I8" s="19" t="s">
        <v>117</v>
      </c>
      <c r="J8" s="66">
        <f ca="1">TODAY()</f>
        <v>45613</v>
      </c>
      <c r="K8" s="67"/>
      <c r="L8" s="67"/>
      <c r="M8" s="2"/>
    </row>
    <row r="9" spans="1:28" ht="16.8">
      <c r="C9" s="18"/>
      <c r="D9" s="2"/>
      <c r="E9" s="2"/>
      <c r="F9" s="2"/>
      <c r="G9" s="2"/>
      <c r="H9" s="2"/>
      <c r="I9" s="3" t="s">
        <v>118</v>
      </c>
      <c r="J9" s="68" t="s">
        <v>151</v>
      </c>
      <c r="K9" s="68"/>
      <c r="L9" s="68"/>
      <c r="M9" s="2"/>
    </row>
    <row r="10" spans="1:28" ht="16.8">
      <c r="C10" s="18"/>
      <c r="D10" s="2"/>
      <c r="E10" s="2"/>
      <c r="F10" s="2"/>
      <c r="G10" s="2"/>
      <c r="H10" s="2"/>
      <c r="I10" s="3"/>
      <c r="J10" s="16"/>
      <c r="K10" s="16"/>
      <c r="L10" s="16"/>
      <c r="M10" s="2"/>
    </row>
    <row r="11" spans="1:28">
      <c r="C11" s="18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28">
      <c r="C12" s="18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28">
      <c r="C13" s="18"/>
      <c r="D13" s="2"/>
      <c r="E13" s="2"/>
      <c r="F13" s="2"/>
      <c r="G13" s="2"/>
      <c r="H13" s="2"/>
      <c r="I13" s="20"/>
      <c r="J13" s="20"/>
      <c r="K13" s="20"/>
      <c r="L13" s="2"/>
      <c r="M13" s="2"/>
    </row>
    <row r="14" spans="1:28" ht="17.399999999999999">
      <c r="C14" s="18"/>
      <c r="D14" s="2"/>
      <c r="E14" s="69" t="str">
        <f>Parameters!E9</f>
        <v>MouloloEden</v>
      </c>
      <c r="F14" s="69"/>
      <c r="G14" s="69"/>
      <c r="H14" s="2"/>
      <c r="I14" s="69" t="s">
        <v>68</v>
      </c>
      <c r="J14" s="69"/>
      <c r="K14" s="69"/>
      <c r="L14" s="14"/>
      <c r="M14" s="2"/>
    </row>
    <row r="15" spans="1:28" ht="18" customHeight="1">
      <c r="C15" s="18"/>
      <c r="D15" s="2"/>
      <c r="E15" s="67" t="str">
        <f>Parameters!E10</f>
        <v>41, rue Desaix 75012 Paris</v>
      </c>
      <c r="F15" s="67"/>
      <c r="G15" s="67"/>
      <c r="H15" s="2"/>
      <c r="I15" s="67" t="str">
        <f>IFERROR(VLOOKUP(I14,Clients[],2,FALSE),"")</f>
        <v>47 rue des Alliés 430 St Etienne</v>
      </c>
      <c r="J15" s="67"/>
      <c r="K15" s="67"/>
      <c r="L15" s="15"/>
      <c r="M15" s="2"/>
    </row>
    <row r="16" spans="1:28" ht="18" customHeight="1">
      <c r="C16" s="18"/>
      <c r="D16" s="2"/>
      <c r="E16" s="67" t="str">
        <f>Parameters!E11</f>
        <v>06 11 22 33 44</v>
      </c>
      <c r="F16" s="67"/>
      <c r="G16" s="67"/>
      <c r="H16" s="2"/>
      <c r="I16" s="67" t="str">
        <f>IFERROR(VLOOKUP(I14,Clients[],3,FALSE),"")</f>
        <v>04 77 49 42 42</v>
      </c>
      <c r="J16" s="67"/>
      <c r="K16" s="67"/>
      <c r="L16" s="2"/>
      <c r="M16" s="2"/>
    </row>
    <row r="17" spans="3:13">
      <c r="C17" s="18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3:13">
      <c r="C18" s="18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3:13" ht="19.95" customHeight="1">
      <c r="C19" s="18"/>
      <c r="D19" s="2"/>
      <c r="E19" s="21" t="s">
        <v>119</v>
      </c>
      <c r="F19" s="70" t="s">
        <v>120</v>
      </c>
      <c r="G19" s="70"/>
      <c r="H19" s="32" t="s">
        <v>1</v>
      </c>
      <c r="I19" s="32" t="s">
        <v>121</v>
      </c>
      <c r="J19" s="70" t="s">
        <v>122</v>
      </c>
      <c r="K19" s="70"/>
      <c r="L19" s="70"/>
      <c r="M19" s="2"/>
    </row>
    <row r="20" spans="3:13" ht="19.95" customHeight="1">
      <c r="C20" s="18"/>
      <c r="D20" s="2"/>
      <c r="E20" s="31" t="str">
        <f>IFERROR(VLOOKUP(F20,Produits[],2,FALSE),"")</f>
        <v>C1</v>
      </c>
      <c r="F20" s="64" t="s">
        <v>37</v>
      </c>
      <c r="G20" s="64"/>
      <c r="H20" s="13">
        <f>IFERROR(VLOOKUP(F20,Produits[],3,FALSE),"")</f>
        <v>269</v>
      </c>
      <c r="I20" s="31">
        <v>6</v>
      </c>
      <c r="J20" s="72">
        <f>IFERROR(H20*I20,"")</f>
        <v>1614</v>
      </c>
      <c r="K20" s="72"/>
      <c r="L20" s="72"/>
      <c r="M20" s="2"/>
    </row>
    <row r="21" spans="3:13" ht="19.95" customHeight="1">
      <c r="C21" s="18"/>
      <c r="D21" s="2"/>
      <c r="E21" s="33" t="str">
        <f>IFERROR(VLOOKUP(F21,Produits[],2,FALSE),"")</f>
        <v>E3</v>
      </c>
      <c r="F21" s="71" t="s">
        <v>54</v>
      </c>
      <c r="G21" s="71"/>
      <c r="H21" s="22">
        <f>IFERROR(VLOOKUP(F21,Produits[],3,FALSE),"")</f>
        <v>99</v>
      </c>
      <c r="I21" s="33">
        <v>3</v>
      </c>
      <c r="J21" s="73">
        <f t="shared" ref="J21:J32" si="0">IFERROR(H21*I21,"")</f>
        <v>297</v>
      </c>
      <c r="K21" s="73"/>
      <c r="L21" s="73"/>
      <c r="M21" s="2"/>
    </row>
    <row r="22" spans="3:13" ht="19.95" customHeight="1">
      <c r="C22" s="18"/>
      <c r="D22" s="2"/>
      <c r="E22" s="31" t="str">
        <f>IFERROR(VLOOKUP(F22,Produits[],2,FALSE),"")</f>
        <v/>
      </c>
      <c r="F22" s="64"/>
      <c r="G22" s="64"/>
      <c r="H22" s="13" t="str">
        <f>IFERROR(VLOOKUP(F22,Produits[],3,FALSE),"")</f>
        <v/>
      </c>
      <c r="I22" s="31"/>
      <c r="J22" s="72" t="str">
        <f t="shared" si="0"/>
        <v/>
      </c>
      <c r="K22" s="72"/>
      <c r="L22" s="72"/>
      <c r="M22" s="2"/>
    </row>
    <row r="23" spans="3:13" ht="19.95" customHeight="1">
      <c r="C23" s="18"/>
      <c r="D23" s="2"/>
      <c r="E23" s="33" t="str">
        <f>IFERROR(VLOOKUP(F23,Produits[],2,FALSE),"")</f>
        <v/>
      </c>
      <c r="F23" s="71"/>
      <c r="G23" s="71"/>
      <c r="H23" s="22" t="str">
        <f>IFERROR(VLOOKUP(F23,Produits[],3,FALSE),"")</f>
        <v/>
      </c>
      <c r="I23" s="33"/>
      <c r="J23" s="73" t="str">
        <f t="shared" si="0"/>
        <v/>
      </c>
      <c r="K23" s="73"/>
      <c r="L23" s="73"/>
      <c r="M23" s="2"/>
    </row>
    <row r="24" spans="3:13" ht="19.95" customHeight="1">
      <c r="C24" s="18"/>
      <c r="D24" s="2"/>
      <c r="E24" s="31" t="str">
        <f>IFERROR(VLOOKUP(F24,Produits[],2,FALSE),"")</f>
        <v/>
      </c>
      <c r="F24" s="64"/>
      <c r="G24" s="64"/>
      <c r="H24" s="13" t="str">
        <f>IFERROR(VLOOKUP(F24,Produits[],3,FALSE),"")</f>
        <v/>
      </c>
      <c r="I24" s="31"/>
      <c r="J24" s="72" t="str">
        <f t="shared" si="0"/>
        <v/>
      </c>
      <c r="K24" s="72"/>
      <c r="L24" s="72"/>
      <c r="M24" s="2"/>
    </row>
    <row r="25" spans="3:13" ht="19.95" customHeight="1">
      <c r="C25" s="18"/>
      <c r="D25" s="2"/>
      <c r="E25" s="33" t="str">
        <f>IFERROR(VLOOKUP(F25,Produits[],2,FALSE),"")</f>
        <v/>
      </c>
      <c r="F25" s="71"/>
      <c r="G25" s="71"/>
      <c r="H25" s="22" t="str">
        <f>IFERROR(VLOOKUP(F25,Produits[],3,FALSE),"")</f>
        <v/>
      </c>
      <c r="I25" s="33"/>
      <c r="J25" s="73" t="str">
        <f t="shared" si="0"/>
        <v/>
      </c>
      <c r="K25" s="73"/>
      <c r="L25" s="73"/>
      <c r="M25" s="2"/>
    </row>
    <row r="26" spans="3:13" ht="19.95" customHeight="1">
      <c r="C26" s="18"/>
      <c r="D26" s="2"/>
      <c r="E26" s="31" t="str">
        <f>IFERROR(VLOOKUP(F26,Produits[],2,FALSE),"")</f>
        <v/>
      </c>
      <c r="F26" s="64"/>
      <c r="G26" s="64"/>
      <c r="H26" s="13" t="str">
        <f>IFERROR(VLOOKUP(F26,Produits[],3,FALSE),"")</f>
        <v/>
      </c>
      <c r="I26" s="31"/>
      <c r="J26" s="72" t="str">
        <f t="shared" si="0"/>
        <v/>
      </c>
      <c r="K26" s="72"/>
      <c r="L26" s="72"/>
      <c r="M26" s="2"/>
    </row>
    <row r="27" spans="3:13" ht="19.95" customHeight="1">
      <c r="C27" s="18"/>
      <c r="D27" s="2"/>
      <c r="E27" s="33" t="str">
        <f>IFERROR(VLOOKUP(F27,Produits[],2,FALSE),"")</f>
        <v/>
      </c>
      <c r="F27" s="71"/>
      <c r="G27" s="71"/>
      <c r="H27" s="22" t="str">
        <f>IFERROR(VLOOKUP(F27,Produits[],3,FALSE),"")</f>
        <v/>
      </c>
      <c r="I27" s="33"/>
      <c r="J27" s="73" t="str">
        <f t="shared" si="0"/>
        <v/>
      </c>
      <c r="K27" s="73"/>
      <c r="L27" s="73"/>
      <c r="M27" s="2"/>
    </row>
    <row r="28" spans="3:13" ht="19.95" customHeight="1">
      <c r="C28" s="18"/>
      <c r="D28" s="2"/>
      <c r="E28" s="31" t="str">
        <f>IFERROR(VLOOKUP(F28,Produits[],2,FALSE),"")</f>
        <v/>
      </c>
      <c r="F28" s="64"/>
      <c r="G28" s="64"/>
      <c r="H28" s="13" t="str">
        <f>IFERROR(VLOOKUP(F28,Produits[],3,FALSE),"")</f>
        <v/>
      </c>
      <c r="I28" s="31"/>
      <c r="J28" s="72" t="str">
        <f t="shared" si="0"/>
        <v/>
      </c>
      <c r="K28" s="72"/>
      <c r="L28" s="72"/>
      <c r="M28" s="2"/>
    </row>
    <row r="29" spans="3:13" ht="19.95" customHeight="1">
      <c r="C29" s="18"/>
      <c r="D29" s="2"/>
      <c r="E29" s="33" t="str">
        <f>IFERROR(VLOOKUP(F29,Produits[],2,FALSE),"")</f>
        <v/>
      </c>
      <c r="F29" s="71"/>
      <c r="G29" s="71"/>
      <c r="H29" s="22" t="str">
        <f>IFERROR(VLOOKUP(F29,Produits[],3,FALSE),"")</f>
        <v/>
      </c>
      <c r="I29" s="33"/>
      <c r="J29" s="73" t="str">
        <f t="shared" si="0"/>
        <v/>
      </c>
      <c r="K29" s="73"/>
      <c r="L29" s="73"/>
      <c r="M29" s="2"/>
    </row>
    <row r="30" spans="3:13" ht="19.95" customHeight="1">
      <c r="C30" s="18"/>
      <c r="D30" s="2"/>
      <c r="E30" s="31" t="str">
        <f>IFERROR(VLOOKUP(F30,Produits[],2,FALSE),"")</f>
        <v/>
      </c>
      <c r="F30" s="64"/>
      <c r="G30" s="64"/>
      <c r="H30" s="13" t="str">
        <f>IFERROR(VLOOKUP(F30,Produits[],3,FALSE),"")</f>
        <v/>
      </c>
      <c r="I30" s="31"/>
      <c r="J30" s="72" t="str">
        <f t="shared" si="0"/>
        <v/>
      </c>
      <c r="K30" s="72"/>
      <c r="L30" s="72"/>
      <c r="M30" s="2"/>
    </row>
    <row r="31" spans="3:13" ht="19.95" customHeight="1">
      <c r="C31" s="18"/>
      <c r="D31" s="2"/>
      <c r="E31" s="33" t="str">
        <f>IFERROR(VLOOKUP(F31,Produits[],2,FALSE),"")</f>
        <v/>
      </c>
      <c r="F31" s="71"/>
      <c r="G31" s="71"/>
      <c r="H31" s="22" t="str">
        <f>IFERROR(VLOOKUP(F31,Produits[],3,FALSE),"")</f>
        <v/>
      </c>
      <c r="I31" s="33"/>
      <c r="J31" s="73" t="str">
        <f t="shared" si="0"/>
        <v/>
      </c>
      <c r="K31" s="73"/>
      <c r="L31" s="73"/>
      <c r="M31" s="2"/>
    </row>
    <row r="32" spans="3:13" ht="18" customHeight="1">
      <c r="C32" s="18"/>
      <c r="D32" s="2"/>
      <c r="E32" s="34" t="str">
        <f>IFERROR(VLOOKUP(F32,Produits[],2,FALSE),"")</f>
        <v/>
      </c>
      <c r="F32" s="74"/>
      <c r="G32" s="74"/>
      <c r="H32" s="12" t="str">
        <f>IFERROR(VLOOKUP(F32,Produits[],3,FALSE),"")</f>
        <v/>
      </c>
      <c r="I32" s="34"/>
      <c r="J32" s="75" t="str">
        <f t="shared" si="0"/>
        <v/>
      </c>
      <c r="K32" s="75"/>
      <c r="L32" s="75"/>
      <c r="M32" s="2"/>
    </row>
    <row r="33" spans="3:13" ht="10.8" customHeight="1">
      <c r="C33" s="18"/>
      <c r="D33" s="2"/>
      <c r="E33" s="31"/>
      <c r="F33" s="17"/>
      <c r="G33" s="17"/>
      <c r="H33" s="13"/>
      <c r="I33" s="31"/>
      <c r="J33" s="13"/>
      <c r="K33" s="13"/>
      <c r="L33" s="13"/>
      <c r="M33" s="2"/>
    </row>
    <row r="34" spans="3:13" ht="19.95" customHeight="1">
      <c r="C34" s="18"/>
      <c r="D34" s="2"/>
      <c r="E34" s="31"/>
      <c r="F34" s="17"/>
      <c r="G34" s="77" t="s">
        <v>123</v>
      </c>
      <c r="H34" s="77"/>
      <c r="I34" s="77"/>
      <c r="J34" s="72">
        <f>IFERROR(SUM(J20:L32),"")</f>
        <v>1911</v>
      </c>
      <c r="K34" s="72"/>
      <c r="L34" s="72"/>
      <c r="M34" s="2"/>
    </row>
    <row r="35" spans="3:13" ht="19.95" customHeight="1">
      <c r="C35" s="18"/>
      <c r="D35" s="2"/>
      <c r="E35" s="31"/>
      <c r="F35" s="17"/>
      <c r="G35" s="77" t="s">
        <v>124</v>
      </c>
      <c r="H35" s="77"/>
      <c r="I35" s="77"/>
      <c r="J35" s="72">
        <f>J34*20%</f>
        <v>382.20000000000005</v>
      </c>
      <c r="K35" s="72"/>
      <c r="L35" s="72"/>
      <c r="M35" s="2"/>
    </row>
    <row r="36" spans="3:13" ht="19.95" customHeight="1">
      <c r="C36" s="18"/>
      <c r="D36" s="2"/>
      <c r="E36" s="31"/>
      <c r="F36" s="17"/>
      <c r="G36" s="76" t="s">
        <v>125</v>
      </c>
      <c r="H36" s="76"/>
      <c r="I36" s="76"/>
      <c r="J36" s="72">
        <f>J34+J35</f>
        <v>2293.1999999999998</v>
      </c>
      <c r="K36" s="72"/>
      <c r="L36" s="72"/>
      <c r="M36" s="2"/>
    </row>
    <row r="37" spans="3:13" ht="17.399999999999999" customHeight="1">
      <c r="C37" s="18"/>
      <c r="D37" s="2"/>
      <c r="E37" s="31"/>
      <c r="F37" s="17"/>
      <c r="G37" s="17"/>
      <c r="H37" s="13"/>
      <c r="I37" s="31"/>
      <c r="J37" s="13"/>
      <c r="K37" s="13"/>
      <c r="L37" s="13"/>
      <c r="M37" s="2"/>
    </row>
    <row r="38" spans="3:13" ht="12" customHeight="1">
      <c r="C38" s="18"/>
      <c r="D38" s="2"/>
      <c r="E38" s="31"/>
      <c r="F38" s="17"/>
      <c r="G38" s="17"/>
      <c r="H38" s="13"/>
      <c r="I38" s="31"/>
      <c r="J38" s="13"/>
      <c r="K38" s="13"/>
      <c r="L38" s="13"/>
      <c r="M38" s="2"/>
    </row>
    <row r="39" spans="3:13" ht="14.4" customHeight="1">
      <c r="C39" s="18"/>
      <c r="D39" s="2"/>
      <c r="E39" s="31"/>
      <c r="F39" s="17"/>
      <c r="G39" s="17"/>
      <c r="H39" s="13"/>
      <c r="I39" s="31"/>
      <c r="J39" s="13"/>
      <c r="K39" s="13"/>
      <c r="L39" s="13"/>
      <c r="M39" s="2"/>
    </row>
    <row r="40" spans="3:13" ht="10.8" customHeight="1">
      <c r="C40" s="18"/>
      <c r="D40" s="2"/>
      <c r="E40" s="31"/>
      <c r="F40" s="17"/>
      <c r="G40" s="17"/>
      <c r="H40" s="13"/>
      <c r="I40" s="31"/>
      <c r="J40" s="13"/>
      <c r="K40" s="13"/>
      <c r="L40" s="13"/>
      <c r="M40" s="2"/>
    </row>
    <row r="41" spans="3:13" ht="14.4" customHeight="1">
      <c r="C41" s="18"/>
      <c r="D41" s="2"/>
      <c r="E41" s="31"/>
      <c r="F41" s="17"/>
      <c r="G41" s="17"/>
      <c r="H41" s="13"/>
      <c r="I41" s="31"/>
      <c r="J41" s="13"/>
      <c r="K41" s="13"/>
      <c r="L41" s="13"/>
      <c r="M41" s="2"/>
    </row>
    <row r="42" spans="3:13" ht="9" customHeight="1">
      <c r="C42" s="18"/>
      <c r="D42" s="2"/>
      <c r="E42" s="31"/>
      <c r="F42" s="17"/>
      <c r="G42" s="17"/>
      <c r="H42" s="13"/>
      <c r="I42" s="31"/>
      <c r="J42" s="13"/>
      <c r="K42" s="13"/>
      <c r="L42" s="13"/>
      <c r="M42" s="2"/>
    </row>
    <row r="43" spans="3:13" ht="11.4" customHeight="1">
      <c r="C43" s="18"/>
      <c r="D43" s="2"/>
      <c r="E43" s="31"/>
      <c r="F43" s="17"/>
      <c r="G43" s="17"/>
      <c r="H43" s="13"/>
      <c r="I43" s="31"/>
      <c r="J43" s="13"/>
      <c r="K43" s="13"/>
      <c r="L43" s="13"/>
      <c r="M43" s="2"/>
    </row>
    <row r="44" spans="3:13" ht="17.399999999999999" customHeight="1">
      <c r="C44" s="18"/>
      <c r="D44" s="2"/>
      <c r="E44" s="31"/>
      <c r="F44" s="17"/>
      <c r="G44" s="17"/>
      <c r="H44" s="13"/>
      <c r="I44" s="31"/>
      <c r="J44" s="13"/>
      <c r="K44" s="13"/>
      <c r="L44" s="13"/>
      <c r="M44" s="2"/>
    </row>
    <row r="45" spans="3:13" ht="8.4" customHeight="1">
      <c r="C45" s="18"/>
      <c r="D45" s="2"/>
      <c r="E45" s="31"/>
      <c r="F45" s="17"/>
      <c r="G45" s="17"/>
      <c r="H45" s="13"/>
      <c r="I45" s="31"/>
      <c r="J45" s="13"/>
      <c r="K45" s="13"/>
      <c r="L45" s="13"/>
      <c r="M45" s="2"/>
    </row>
    <row r="46" spans="3:13" ht="12" customHeight="1">
      <c r="C46" s="18"/>
      <c r="D46" s="2"/>
      <c r="E46" s="65" t="str">
        <f>CONCATENATE("Des questions ?", CHAR(10),"Envoyez un e-mail à ",Parameters!E12,CHAR(10),"ou appellez-nous au ",Parameters!E11)</f>
        <v>Des questions ?
Envoyez un e-mail à moulololeden@gmail.com
ou appellez-nous au 06 11 22 33 44</v>
      </c>
      <c r="F46" s="65"/>
      <c r="G46" s="65"/>
      <c r="H46" s="65"/>
      <c r="I46" s="65"/>
      <c r="J46" s="65"/>
      <c r="K46" s="65"/>
      <c r="L46" s="65"/>
      <c r="M46" s="2"/>
    </row>
    <row r="47" spans="3:13" ht="19.95" customHeight="1">
      <c r="C47" s="18"/>
      <c r="D47" s="2"/>
      <c r="E47" s="65"/>
      <c r="F47" s="65"/>
      <c r="G47" s="65"/>
      <c r="H47" s="65"/>
      <c r="I47" s="65"/>
      <c r="J47" s="65"/>
      <c r="K47" s="65"/>
      <c r="L47" s="65"/>
      <c r="M47" s="2"/>
    </row>
    <row r="48" spans="3:13" ht="19.95" customHeight="1">
      <c r="C48" s="18"/>
      <c r="D48" s="2"/>
      <c r="E48" s="65"/>
      <c r="F48" s="65"/>
      <c r="G48" s="65"/>
      <c r="H48" s="65"/>
      <c r="I48" s="65"/>
      <c r="J48" s="65"/>
      <c r="K48" s="65"/>
      <c r="L48" s="65"/>
      <c r="M48" s="2"/>
    </row>
    <row r="49" spans="3:13" ht="19.95" customHeight="1">
      <c r="C49" s="18"/>
      <c r="D49" s="2"/>
      <c r="E49" s="65"/>
      <c r="F49" s="65"/>
      <c r="G49" s="65"/>
      <c r="H49" s="65"/>
      <c r="I49" s="65"/>
      <c r="J49" s="65"/>
      <c r="K49" s="65"/>
      <c r="L49" s="65"/>
      <c r="M49" s="2"/>
    </row>
    <row r="50" spans="3:13" ht="14.4" customHeight="1">
      <c r="C50" s="18"/>
      <c r="D50" s="2"/>
      <c r="E50" s="31"/>
      <c r="F50" s="17"/>
      <c r="G50" s="17"/>
      <c r="H50" s="13"/>
      <c r="I50" s="31"/>
      <c r="J50" s="13"/>
      <c r="K50" s="13"/>
      <c r="L50" s="13"/>
      <c r="M50" s="2"/>
    </row>
    <row r="51" spans="3:13" ht="13.8" customHeight="1">
      <c r="C51" s="18"/>
      <c r="D51" s="2"/>
      <c r="E51" s="31"/>
      <c r="F51" s="17"/>
      <c r="G51" s="17"/>
      <c r="H51" s="13"/>
      <c r="I51" s="31"/>
      <c r="J51" s="13"/>
      <c r="K51" s="13"/>
      <c r="L51" s="13"/>
      <c r="M51" s="2"/>
    </row>
    <row r="52" spans="3:13" ht="19.95" customHeight="1">
      <c r="C52" s="18"/>
      <c r="D52" s="2"/>
      <c r="E52" s="64" t="str">
        <f>CONCATENATE(Parameters!E10," - ",Parameters!E13)</f>
        <v>41, rue Desaix 75012 Paris - https://www.datascienceportfol.io/mouloloden</v>
      </c>
      <c r="F52" s="64"/>
      <c r="G52" s="64"/>
      <c r="H52" s="64"/>
      <c r="I52" s="64"/>
      <c r="J52" s="64"/>
      <c r="K52" s="64"/>
      <c r="L52" s="64"/>
      <c r="M52" s="2"/>
    </row>
    <row r="53" spans="3:13" ht="12.6" customHeight="1">
      <c r="C53" s="18"/>
      <c r="D53" s="2"/>
      <c r="E53" s="31"/>
      <c r="F53" s="17"/>
      <c r="G53" s="17"/>
      <c r="H53" s="13"/>
      <c r="I53" s="31"/>
      <c r="J53" s="13"/>
      <c r="K53" s="13"/>
      <c r="L53" s="13"/>
      <c r="M53" s="2"/>
    </row>
    <row r="59" spans="3:13">
      <c r="H59" s="1" t="str">
        <f>CHAR(13)</f>
        <v>_x000D_</v>
      </c>
    </row>
  </sheetData>
  <mergeCells count="44">
    <mergeCell ref="J8:L8"/>
    <mergeCell ref="J9:L9"/>
    <mergeCell ref="E14:G14"/>
    <mergeCell ref="I14:K14"/>
    <mergeCell ref="E15:G15"/>
    <mergeCell ref="I15:K15"/>
    <mergeCell ref="E16:G16"/>
    <mergeCell ref="I16:K16"/>
    <mergeCell ref="F19:G19"/>
    <mergeCell ref="J19:L19"/>
    <mergeCell ref="F20:G20"/>
    <mergeCell ref="J20:L20"/>
    <mergeCell ref="F21:G21"/>
    <mergeCell ref="J21:L21"/>
    <mergeCell ref="F22:G22"/>
    <mergeCell ref="J22:L22"/>
    <mergeCell ref="F23:G23"/>
    <mergeCell ref="J23:L23"/>
    <mergeCell ref="F24:G24"/>
    <mergeCell ref="J24:L24"/>
    <mergeCell ref="F25:G25"/>
    <mergeCell ref="J25:L25"/>
    <mergeCell ref="F26:G26"/>
    <mergeCell ref="J26:L26"/>
    <mergeCell ref="F27:G27"/>
    <mergeCell ref="J27:L27"/>
    <mergeCell ref="F28:G28"/>
    <mergeCell ref="J28:L28"/>
    <mergeCell ref="F29:G29"/>
    <mergeCell ref="J29:L29"/>
    <mergeCell ref="F30:G30"/>
    <mergeCell ref="J30:L30"/>
    <mergeCell ref="F31:G31"/>
    <mergeCell ref="J31:L31"/>
    <mergeCell ref="F32:G32"/>
    <mergeCell ref="J32:L32"/>
    <mergeCell ref="E46:L49"/>
    <mergeCell ref="E52:L52"/>
    <mergeCell ref="G34:I34"/>
    <mergeCell ref="J34:L34"/>
    <mergeCell ref="G35:I35"/>
    <mergeCell ref="J35:L35"/>
    <mergeCell ref="G36:I36"/>
    <mergeCell ref="J36:L36"/>
  </mergeCells>
  <dataValidations count="2">
    <dataValidation type="list" allowBlank="1" showInputMessage="1" showErrorMessage="1" sqref="I14:K14" xr:uid="{CD8A985F-BF19-4FD8-A8BA-1BD2CE85CB95}">
      <formula1>INDIRECT("Clients[Nom]")</formula1>
    </dataValidation>
    <dataValidation type="list" allowBlank="1" showInputMessage="1" showErrorMessage="1" sqref="F20:G32" xr:uid="{9E353817-0529-411B-833C-C054AFEE33EC}">
      <formula1>INDIRECT("Produits[DÉSIGNATION]")</formula1>
    </dataValidation>
  </dataValidations>
  <printOptions horizontalCentered="1" verticalCentered="1"/>
  <pageMargins left="0.25" right="0.25" top="0.25" bottom="0.2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57A00-EBDB-486A-AF6F-C75A6AF8A489}">
  <sheetPr codeName="Feuil5"/>
  <dimension ref="A1:AB61"/>
  <sheetViews>
    <sheetView zoomScale="80" zoomScaleNormal="80" workbookViewId="0">
      <selection activeCell="I16" sqref="I16:K16"/>
    </sheetView>
  </sheetViews>
  <sheetFormatPr baseColWidth="10" defaultColWidth="8.88671875" defaultRowHeight="14.4"/>
  <cols>
    <col min="1" max="2" width="8.88671875" style="1"/>
    <col min="3" max="3" width="3.77734375" style="1" customWidth="1"/>
    <col min="4" max="4" width="5.5546875" style="1" customWidth="1"/>
    <col min="5" max="5" width="11.88671875" style="1" customWidth="1"/>
    <col min="6" max="6" width="13.109375" style="1" customWidth="1"/>
    <col min="7" max="7" width="10" style="1" customWidth="1"/>
    <col min="8" max="8" width="14.33203125" style="1" customWidth="1"/>
    <col min="9" max="9" width="11.21875" style="1" customWidth="1"/>
    <col min="10" max="10" width="7.109375" style="1" customWidth="1"/>
    <col min="11" max="11" width="9.5546875" style="1" customWidth="1"/>
    <col min="12" max="12" width="5.33203125" style="1" customWidth="1"/>
    <col min="13" max="13" width="5.44140625" style="1" customWidth="1"/>
    <col min="14" max="16384" width="8.88671875" style="1"/>
  </cols>
  <sheetData>
    <row r="1" spans="1:28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 ht="10.8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8" spans="1:28">
      <c r="C8" s="18"/>
      <c r="D8" s="2"/>
      <c r="E8" s="2"/>
      <c r="F8" s="2"/>
      <c r="G8" s="2"/>
      <c r="H8" s="2"/>
      <c r="I8" s="2"/>
      <c r="J8" s="2"/>
      <c r="K8" s="2"/>
      <c r="L8" s="2"/>
      <c r="M8" s="2"/>
    </row>
    <row r="9" spans="1:28">
      <c r="C9" s="18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28" ht="16.8">
      <c r="C10" s="18"/>
      <c r="D10" s="2"/>
      <c r="E10" s="2"/>
      <c r="F10" s="2"/>
      <c r="G10" s="2"/>
      <c r="H10" s="2"/>
      <c r="I10" s="19" t="s">
        <v>117</v>
      </c>
      <c r="J10" s="66">
        <f ca="1">TODAY()</f>
        <v>45613</v>
      </c>
      <c r="K10" s="67"/>
      <c r="L10" s="67"/>
      <c r="M10" s="2"/>
    </row>
    <row r="11" spans="1:28" ht="16.8">
      <c r="C11" s="18"/>
      <c r="D11" s="2"/>
      <c r="E11" s="2"/>
      <c r="F11" s="2"/>
      <c r="G11" s="2"/>
      <c r="H11" s="2"/>
      <c r="I11" s="3" t="s">
        <v>118</v>
      </c>
      <c r="J11" s="68" t="s">
        <v>244</v>
      </c>
      <c r="K11" s="68"/>
      <c r="L11" s="68"/>
      <c r="M11" s="2"/>
    </row>
    <row r="12" spans="1:28" ht="16.8">
      <c r="C12" s="18"/>
      <c r="D12" s="2"/>
      <c r="E12" s="2"/>
      <c r="F12" s="2"/>
      <c r="G12" s="2"/>
      <c r="H12" s="2"/>
      <c r="I12" s="3"/>
      <c r="J12" s="16"/>
      <c r="K12" s="16"/>
      <c r="L12" s="16"/>
      <c r="M12" s="2"/>
    </row>
    <row r="13" spans="1:28">
      <c r="C13" s="18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28">
      <c r="C14" s="18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28">
      <c r="C15" s="18"/>
      <c r="D15" s="2"/>
      <c r="E15" s="2"/>
      <c r="F15" s="2"/>
      <c r="G15" s="2"/>
      <c r="H15" s="2"/>
      <c r="I15" s="20"/>
      <c r="J15" s="20"/>
      <c r="K15" s="20"/>
      <c r="L15" s="2"/>
      <c r="M15" s="2"/>
    </row>
    <row r="16" spans="1:28" ht="17.399999999999999">
      <c r="C16" s="18"/>
      <c r="D16" s="2"/>
      <c r="E16" s="69" t="str">
        <f>Parameters!E9</f>
        <v>MouloloEden</v>
      </c>
      <c r="F16" s="69"/>
      <c r="G16" s="69"/>
      <c r="H16" s="2"/>
      <c r="I16" s="69" t="s">
        <v>75</v>
      </c>
      <c r="J16" s="69"/>
      <c r="K16" s="69"/>
      <c r="L16" s="14"/>
      <c r="M16" s="2"/>
    </row>
    <row r="17" spans="3:13" ht="18" customHeight="1">
      <c r="C17" s="18"/>
      <c r="D17" s="2"/>
      <c r="E17" s="67" t="str">
        <f>Parameters!E10</f>
        <v>41, rue Desaix 75012 Paris</v>
      </c>
      <c r="F17" s="67"/>
      <c r="G17" s="67"/>
      <c r="H17" s="2"/>
      <c r="I17" s="67" t="str">
        <f>IFERROR(VLOOKUP(I16,Clients[],2,FALSE),"")</f>
        <v>3-5 av. Esquirol 69003 Lyon</v>
      </c>
      <c r="J17" s="67"/>
      <c r="K17" s="67"/>
      <c r="L17" s="15"/>
      <c r="M17" s="2"/>
    </row>
    <row r="18" spans="3:13" ht="18" customHeight="1">
      <c r="C18" s="18"/>
      <c r="D18" s="2"/>
      <c r="E18" s="67" t="str">
        <f>Parameters!E11</f>
        <v>06 11 22 33 44</v>
      </c>
      <c r="F18" s="67"/>
      <c r="G18" s="67"/>
      <c r="H18" s="2"/>
      <c r="I18" s="67" t="str">
        <f>IFERROR(VLOOKUP(I16,Clients[],3,FALSE),"")</f>
        <v>04 72 11 29 99</v>
      </c>
      <c r="J18" s="67"/>
      <c r="K18" s="67"/>
      <c r="L18" s="2"/>
      <c r="M18" s="2"/>
    </row>
    <row r="19" spans="3:13">
      <c r="C19" s="18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3:13">
      <c r="C20" s="18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3:13" ht="19.95" customHeight="1">
      <c r="C21" s="18"/>
      <c r="D21" s="2"/>
      <c r="E21" s="21" t="s">
        <v>119</v>
      </c>
      <c r="F21" s="70" t="s">
        <v>120</v>
      </c>
      <c r="G21" s="70"/>
      <c r="H21" s="32" t="s">
        <v>1</v>
      </c>
      <c r="I21" s="32" t="s">
        <v>121</v>
      </c>
      <c r="J21" s="70" t="s">
        <v>122</v>
      </c>
      <c r="K21" s="70"/>
      <c r="L21" s="70"/>
      <c r="M21" s="2"/>
    </row>
    <row r="22" spans="3:13" ht="19.95" customHeight="1">
      <c r="C22" s="18"/>
      <c r="D22" s="2"/>
      <c r="E22" s="31" t="str">
        <f>IFERROR(VLOOKUP(F22,Produits[],2,FALSE),"")</f>
        <v>E2</v>
      </c>
      <c r="F22" s="64" t="s">
        <v>107</v>
      </c>
      <c r="G22" s="64"/>
      <c r="H22" s="13">
        <f>IFERROR(VLOOKUP(F22,Produits[],3,FALSE),"")</f>
        <v>229</v>
      </c>
      <c r="I22" s="31">
        <v>5</v>
      </c>
      <c r="J22" s="72">
        <f>IFERROR(H22*I22,"")</f>
        <v>1145</v>
      </c>
      <c r="K22" s="72"/>
      <c r="L22" s="72"/>
      <c r="M22" s="2"/>
    </row>
    <row r="23" spans="3:13" ht="19.95" customHeight="1">
      <c r="C23" s="18"/>
      <c r="D23" s="2"/>
      <c r="E23" s="33" t="str">
        <f>IFERROR(VLOOKUP(F23,Produits[],2,FALSE),"")</f>
        <v>C2</v>
      </c>
      <c r="F23" s="71" t="s">
        <v>105</v>
      </c>
      <c r="G23" s="71"/>
      <c r="H23" s="22">
        <f>IFERROR(VLOOKUP(F23,Produits[],3,FALSE),"")</f>
        <v>134</v>
      </c>
      <c r="I23" s="33">
        <v>3</v>
      </c>
      <c r="J23" s="73">
        <f t="shared" ref="J23:J34" si="0">IFERROR(H23*I23,"")</f>
        <v>402</v>
      </c>
      <c r="K23" s="73"/>
      <c r="L23" s="73"/>
      <c r="M23" s="2"/>
    </row>
    <row r="24" spans="3:13" ht="19.95" customHeight="1">
      <c r="C24" s="18"/>
      <c r="D24" s="2"/>
      <c r="E24" s="31" t="str">
        <f>IFERROR(VLOOKUP(F24,Produits[],2,FALSE),"")</f>
        <v/>
      </c>
      <c r="F24" s="64"/>
      <c r="G24" s="64"/>
      <c r="H24" s="13" t="str">
        <f>IFERROR(VLOOKUP(F24,Produits[],3,FALSE),"")</f>
        <v/>
      </c>
      <c r="I24" s="31"/>
      <c r="J24" s="72" t="str">
        <f t="shared" si="0"/>
        <v/>
      </c>
      <c r="K24" s="72"/>
      <c r="L24" s="72"/>
      <c r="M24" s="2"/>
    </row>
    <row r="25" spans="3:13" ht="19.95" customHeight="1">
      <c r="C25" s="18"/>
      <c r="D25" s="2"/>
      <c r="E25" s="33" t="str">
        <f>IFERROR(VLOOKUP(F25,Produits[],2,FALSE),"")</f>
        <v/>
      </c>
      <c r="F25" s="71"/>
      <c r="G25" s="71"/>
      <c r="H25" s="22" t="str">
        <f>IFERROR(VLOOKUP(F25,Produits[],3,FALSE),"")</f>
        <v/>
      </c>
      <c r="I25" s="33"/>
      <c r="J25" s="73" t="str">
        <f t="shared" si="0"/>
        <v/>
      </c>
      <c r="K25" s="73"/>
      <c r="L25" s="73"/>
      <c r="M25" s="2"/>
    </row>
    <row r="26" spans="3:13" ht="19.95" customHeight="1">
      <c r="C26" s="18"/>
      <c r="D26" s="2"/>
      <c r="E26" s="31" t="str">
        <f>IFERROR(VLOOKUP(F26,Produits[],2,FALSE),"")</f>
        <v/>
      </c>
      <c r="F26" s="64"/>
      <c r="G26" s="64"/>
      <c r="H26" s="13" t="str">
        <f>IFERROR(VLOOKUP(F26,Produits[],3,FALSE),"")</f>
        <v/>
      </c>
      <c r="I26" s="31"/>
      <c r="J26" s="72" t="str">
        <f t="shared" si="0"/>
        <v/>
      </c>
      <c r="K26" s="72"/>
      <c r="L26" s="72"/>
      <c r="M26" s="2"/>
    </row>
    <row r="27" spans="3:13" ht="19.95" customHeight="1">
      <c r="C27" s="18"/>
      <c r="D27" s="2"/>
      <c r="E27" s="33" t="str">
        <f>IFERROR(VLOOKUP(F27,Produits[],2,FALSE),"")</f>
        <v/>
      </c>
      <c r="F27" s="71"/>
      <c r="G27" s="71"/>
      <c r="H27" s="22" t="str">
        <f>IFERROR(VLOOKUP(F27,Produits[],3,FALSE),"")</f>
        <v/>
      </c>
      <c r="I27" s="33"/>
      <c r="J27" s="73" t="str">
        <f t="shared" si="0"/>
        <v/>
      </c>
      <c r="K27" s="73"/>
      <c r="L27" s="73"/>
      <c r="M27" s="2"/>
    </row>
    <row r="28" spans="3:13" ht="19.95" customHeight="1">
      <c r="C28" s="18"/>
      <c r="D28" s="2"/>
      <c r="E28" s="31" t="str">
        <f>IFERROR(VLOOKUP(F28,Produits[],2,FALSE),"")</f>
        <v/>
      </c>
      <c r="F28" s="64"/>
      <c r="G28" s="64"/>
      <c r="H28" s="13" t="str">
        <f>IFERROR(VLOOKUP(F28,Produits[],3,FALSE),"")</f>
        <v/>
      </c>
      <c r="I28" s="31"/>
      <c r="J28" s="72" t="str">
        <f t="shared" si="0"/>
        <v/>
      </c>
      <c r="K28" s="72"/>
      <c r="L28" s="72"/>
      <c r="M28" s="2"/>
    </row>
    <row r="29" spans="3:13" ht="19.95" customHeight="1">
      <c r="C29" s="18"/>
      <c r="D29" s="2"/>
      <c r="E29" s="33" t="str">
        <f>IFERROR(VLOOKUP(F29,Produits[],2,FALSE),"")</f>
        <v/>
      </c>
      <c r="F29" s="71"/>
      <c r="G29" s="71"/>
      <c r="H29" s="22" t="str">
        <f>IFERROR(VLOOKUP(F29,Produits[],3,FALSE),"")</f>
        <v/>
      </c>
      <c r="I29" s="33"/>
      <c r="J29" s="73" t="str">
        <f t="shared" si="0"/>
        <v/>
      </c>
      <c r="K29" s="73"/>
      <c r="L29" s="73"/>
      <c r="M29" s="2"/>
    </row>
    <row r="30" spans="3:13" ht="19.95" customHeight="1">
      <c r="C30" s="18"/>
      <c r="D30" s="2"/>
      <c r="E30" s="31" t="str">
        <f>IFERROR(VLOOKUP(F30,Produits[],2,FALSE),"")</f>
        <v/>
      </c>
      <c r="F30" s="64"/>
      <c r="G30" s="64"/>
      <c r="H30" s="13" t="str">
        <f>IFERROR(VLOOKUP(F30,Produits[],3,FALSE),"")</f>
        <v/>
      </c>
      <c r="I30" s="31"/>
      <c r="J30" s="72" t="str">
        <f t="shared" si="0"/>
        <v/>
      </c>
      <c r="K30" s="72"/>
      <c r="L30" s="72"/>
      <c r="M30" s="2"/>
    </row>
    <row r="31" spans="3:13" ht="19.95" customHeight="1">
      <c r="C31" s="18"/>
      <c r="D31" s="2"/>
      <c r="E31" s="33" t="str">
        <f>IFERROR(VLOOKUP(F31,Produits[],2,FALSE),"")</f>
        <v/>
      </c>
      <c r="F31" s="71"/>
      <c r="G31" s="71"/>
      <c r="H31" s="22" t="str">
        <f>IFERROR(VLOOKUP(F31,Produits[],3,FALSE),"")</f>
        <v/>
      </c>
      <c r="I31" s="33"/>
      <c r="J31" s="73" t="str">
        <f t="shared" si="0"/>
        <v/>
      </c>
      <c r="K31" s="73"/>
      <c r="L31" s="73"/>
      <c r="M31" s="2"/>
    </row>
    <row r="32" spans="3:13" ht="19.95" customHeight="1">
      <c r="C32" s="18"/>
      <c r="D32" s="2"/>
      <c r="E32" s="31" t="str">
        <f>IFERROR(VLOOKUP(F32,Produits[],2,FALSE),"")</f>
        <v/>
      </c>
      <c r="F32" s="64"/>
      <c r="G32" s="64"/>
      <c r="H32" s="13" t="str">
        <f>IFERROR(VLOOKUP(F32,Produits[],3,FALSE),"")</f>
        <v/>
      </c>
      <c r="I32" s="31"/>
      <c r="J32" s="72" t="str">
        <f t="shared" si="0"/>
        <v/>
      </c>
      <c r="K32" s="72"/>
      <c r="L32" s="72"/>
      <c r="M32" s="2"/>
    </row>
    <row r="33" spans="3:13" ht="19.95" customHeight="1">
      <c r="C33" s="18"/>
      <c r="D33" s="2"/>
      <c r="E33" s="33" t="str">
        <f>IFERROR(VLOOKUP(F33,Produits[],2,FALSE),"")</f>
        <v/>
      </c>
      <c r="F33" s="71"/>
      <c r="G33" s="71"/>
      <c r="H33" s="22" t="str">
        <f>IFERROR(VLOOKUP(F33,Produits[],3,FALSE),"")</f>
        <v/>
      </c>
      <c r="I33" s="33"/>
      <c r="J33" s="73" t="str">
        <f t="shared" si="0"/>
        <v/>
      </c>
      <c r="K33" s="73"/>
      <c r="L33" s="73"/>
      <c r="M33" s="2"/>
    </row>
    <row r="34" spans="3:13" ht="18" customHeight="1">
      <c r="C34" s="18"/>
      <c r="D34" s="2"/>
      <c r="E34" s="34" t="str">
        <f>IFERROR(VLOOKUP(F34,Produits[],2,FALSE),"")</f>
        <v/>
      </c>
      <c r="F34" s="74"/>
      <c r="G34" s="74"/>
      <c r="H34" s="12" t="str">
        <f>IFERROR(VLOOKUP(F34,Produits[],3,FALSE),"")</f>
        <v/>
      </c>
      <c r="I34" s="34"/>
      <c r="J34" s="75" t="str">
        <f t="shared" si="0"/>
        <v/>
      </c>
      <c r="K34" s="75"/>
      <c r="L34" s="75"/>
      <c r="M34" s="2"/>
    </row>
    <row r="35" spans="3:13" ht="10.8" customHeight="1">
      <c r="C35" s="18"/>
      <c r="D35" s="2"/>
      <c r="E35" s="31"/>
      <c r="F35" s="17"/>
      <c r="G35" s="17"/>
      <c r="H35" s="13"/>
      <c r="I35" s="31"/>
      <c r="J35" s="13"/>
      <c r="K35" s="13"/>
      <c r="L35" s="13"/>
      <c r="M35" s="2"/>
    </row>
    <row r="36" spans="3:13" ht="19.95" customHeight="1">
      <c r="C36" s="18"/>
      <c r="D36" s="2"/>
      <c r="E36" s="31"/>
      <c r="F36" s="17"/>
      <c r="G36" s="77" t="s">
        <v>123</v>
      </c>
      <c r="H36" s="77"/>
      <c r="I36" s="77"/>
      <c r="J36" s="72">
        <f>IFERROR(SUM(J22:L34),"")</f>
        <v>1547</v>
      </c>
      <c r="K36" s="72"/>
      <c r="L36" s="72"/>
      <c r="M36" s="2"/>
    </row>
    <row r="37" spans="3:13" ht="19.95" customHeight="1">
      <c r="C37" s="18"/>
      <c r="D37" s="2"/>
      <c r="E37" s="31"/>
      <c r="F37" s="17"/>
      <c r="G37" s="77" t="s">
        <v>124</v>
      </c>
      <c r="H37" s="77"/>
      <c r="I37" s="77"/>
      <c r="J37" s="72">
        <f>J36*20%</f>
        <v>309.40000000000003</v>
      </c>
      <c r="K37" s="72"/>
      <c r="L37" s="72"/>
      <c r="M37" s="2"/>
    </row>
    <row r="38" spans="3:13" ht="19.95" customHeight="1">
      <c r="C38" s="18"/>
      <c r="D38" s="2"/>
      <c r="E38" s="31"/>
      <c r="F38" s="17"/>
      <c r="G38" s="76" t="s">
        <v>125</v>
      </c>
      <c r="H38" s="76"/>
      <c r="I38" s="76"/>
      <c r="J38" s="72">
        <f>J36+J37</f>
        <v>1856.4</v>
      </c>
      <c r="K38" s="72"/>
      <c r="L38" s="72"/>
      <c r="M38" s="2"/>
    </row>
    <row r="39" spans="3:13" ht="17.399999999999999" customHeight="1">
      <c r="C39" s="18"/>
      <c r="D39" s="2"/>
      <c r="E39" s="31"/>
      <c r="F39" s="17"/>
      <c r="G39" s="17"/>
      <c r="H39" s="13"/>
      <c r="I39" s="31"/>
      <c r="J39" s="13"/>
      <c r="K39" s="13"/>
      <c r="L39" s="13"/>
      <c r="M39" s="2"/>
    </row>
    <row r="40" spans="3:13" ht="12" customHeight="1">
      <c r="C40" s="18"/>
      <c r="D40" s="2"/>
      <c r="E40" s="31"/>
      <c r="F40" s="17"/>
      <c r="G40" s="17"/>
      <c r="H40" s="13"/>
      <c r="I40" s="31"/>
      <c r="J40" s="13"/>
      <c r="K40" s="13"/>
      <c r="L40" s="13"/>
      <c r="M40" s="2"/>
    </row>
    <row r="41" spans="3:13" ht="14.4" customHeight="1">
      <c r="C41" s="18"/>
      <c r="D41" s="2"/>
      <c r="E41" s="31"/>
      <c r="F41" s="17"/>
      <c r="G41" s="17"/>
      <c r="H41" s="13"/>
      <c r="I41" s="31"/>
      <c r="J41" s="13"/>
      <c r="K41" s="13"/>
      <c r="L41" s="13"/>
      <c r="M41" s="2"/>
    </row>
    <row r="42" spans="3:13" ht="10.8" customHeight="1">
      <c r="C42" s="18"/>
      <c r="D42" s="2"/>
      <c r="E42" s="31"/>
      <c r="F42" s="17"/>
      <c r="G42" s="17"/>
      <c r="H42" s="13"/>
      <c r="I42" s="31"/>
      <c r="J42" s="13"/>
      <c r="K42" s="13"/>
      <c r="L42" s="13"/>
      <c r="M42" s="2"/>
    </row>
    <row r="43" spans="3:13" ht="14.4" customHeight="1">
      <c r="C43" s="18"/>
      <c r="D43" s="2"/>
      <c r="E43" s="31"/>
      <c r="F43" s="17"/>
      <c r="G43" s="17"/>
      <c r="H43" s="13"/>
      <c r="I43" s="31"/>
      <c r="J43" s="13"/>
      <c r="K43" s="13"/>
      <c r="L43" s="13"/>
      <c r="M43" s="2"/>
    </row>
    <row r="44" spans="3:13" ht="9" customHeight="1">
      <c r="C44" s="18"/>
      <c r="D44" s="2"/>
      <c r="E44" s="31"/>
      <c r="F44" s="17"/>
      <c r="G44" s="17"/>
      <c r="H44" s="13"/>
      <c r="I44" s="31"/>
      <c r="J44" s="13"/>
      <c r="K44" s="13"/>
      <c r="L44" s="13"/>
      <c r="M44" s="2"/>
    </row>
    <row r="45" spans="3:13" ht="11.4" customHeight="1">
      <c r="C45" s="18"/>
      <c r="D45" s="2"/>
      <c r="E45" s="31"/>
      <c r="F45" s="17"/>
      <c r="G45" s="17"/>
      <c r="H45" s="13"/>
      <c r="I45" s="31"/>
      <c r="J45" s="13"/>
      <c r="K45" s="13"/>
      <c r="L45" s="13"/>
      <c r="M45" s="2"/>
    </row>
    <row r="46" spans="3:13" ht="17.399999999999999" customHeight="1">
      <c r="C46" s="18"/>
      <c r="D46" s="2"/>
      <c r="E46" s="31"/>
      <c r="F46" s="17"/>
      <c r="G46" s="17"/>
      <c r="H46" s="13"/>
      <c r="I46" s="31"/>
      <c r="J46" s="13"/>
      <c r="K46" s="13"/>
      <c r="L46" s="13"/>
      <c r="M46" s="2"/>
    </row>
    <row r="47" spans="3:13" ht="8.4" customHeight="1">
      <c r="C47" s="18"/>
      <c r="D47" s="2"/>
      <c r="E47" s="31"/>
      <c r="F47" s="17"/>
      <c r="G47" s="17"/>
      <c r="H47" s="13"/>
      <c r="I47" s="31"/>
      <c r="J47" s="13"/>
      <c r="K47" s="13"/>
      <c r="L47" s="13"/>
      <c r="M47" s="2"/>
    </row>
    <row r="48" spans="3:13" ht="12" customHeight="1">
      <c r="C48" s="18"/>
      <c r="D48" s="2"/>
      <c r="E48" s="65" t="str">
        <f>CONCATENATE("Des questions ?", CHAR(10),"Envoyez un e-mail à ",Parameters!E12,CHAR(10),"ou appellez-nous au ",Parameters!E11)</f>
        <v>Des questions ?
Envoyez un e-mail à moulololeden@gmail.com
ou appellez-nous au 06 11 22 33 44</v>
      </c>
      <c r="F48" s="65"/>
      <c r="G48" s="65"/>
      <c r="H48" s="65"/>
      <c r="I48" s="65"/>
      <c r="J48" s="65"/>
      <c r="K48" s="65"/>
      <c r="L48" s="65"/>
      <c r="M48" s="2"/>
    </row>
    <row r="49" spans="3:13" ht="19.95" customHeight="1">
      <c r="C49" s="18"/>
      <c r="D49" s="2"/>
      <c r="E49" s="65"/>
      <c r="F49" s="65"/>
      <c r="G49" s="65"/>
      <c r="H49" s="65"/>
      <c r="I49" s="65"/>
      <c r="J49" s="65"/>
      <c r="K49" s="65"/>
      <c r="L49" s="65"/>
      <c r="M49" s="2"/>
    </row>
    <row r="50" spans="3:13" ht="19.95" customHeight="1">
      <c r="C50" s="18"/>
      <c r="D50" s="2"/>
      <c r="E50" s="65"/>
      <c r="F50" s="65"/>
      <c r="G50" s="65"/>
      <c r="H50" s="65"/>
      <c r="I50" s="65"/>
      <c r="J50" s="65"/>
      <c r="K50" s="65"/>
      <c r="L50" s="65"/>
      <c r="M50" s="2"/>
    </row>
    <row r="51" spans="3:13" ht="19.95" customHeight="1">
      <c r="C51" s="18"/>
      <c r="D51" s="2"/>
      <c r="E51" s="65"/>
      <c r="F51" s="65"/>
      <c r="G51" s="65"/>
      <c r="H51" s="65"/>
      <c r="I51" s="65"/>
      <c r="J51" s="65"/>
      <c r="K51" s="65"/>
      <c r="L51" s="65"/>
      <c r="M51" s="2"/>
    </row>
    <row r="52" spans="3:13" ht="14.4" customHeight="1">
      <c r="C52" s="18"/>
      <c r="D52" s="2"/>
      <c r="E52" s="31"/>
      <c r="F52" s="17"/>
      <c r="G52" s="17"/>
      <c r="H52" s="13"/>
      <c r="I52" s="31"/>
      <c r="J52" s="13"/>
      <c r="K52" s="13"/>
      <c r="L52" s="13"/>
      <c r="M52" s="2"/>
    </row>
    <row r="53" spans="3:13" ht="13.8" customHeight="1">
      <c r="C53" s="18"/>
      <c r="D53" s="2"/>
      <c r="E53" s="31"/>
      <c r="F53" s="17"/>
      <c r="G53" s="17"/>
      <c r="H53" s="13"/>
      <c r="I53" s="31"/>
      <c r="J53" s="13"/>
      <c r="K53" s="13"/>
      <c r="L53" s="13"/>
      <c r="M53" s="2"/>
    </row>
    <row r="54" spans="3:13" ht="19.95" customHeight="1">
      <c r="C54" s="18"/>
      <c r="D54" s="2"/>
      <c r="E54" s="64" t="str">
        <f>CONCATENATE(Parameters!E10," - ",Parameters!E13)</f>
        <v>41, rue Desaix 75012 Paris - https://www.datascienceportfol.io/mouloloden</v>
      </c>
      <c r="F54" s="64"/>
      <c r="G54" s="64"/>
      <c r="H54" s="64"/>
      <c r="I54" s="64"/>
      <c r="J54" s="64"/>
      <c r="K54" s="64"/>
      <c r="L54" s="64"/>
      <c r="M54" s="2"/>
    </row>
    <row r="55" spans="3:13" ht="12.6" customHeight="1">
      <c r="C55" s="18"/>
      <c r="D55" s="2"/>
      <c r="E55" s="31"/>
      <c r="F55" s="17"/>
      <c r="G55" s="17"/>
      <c r="H55" s="13"/>
      <c r="I55" s="31"/>
      <c r="J55" s="13"/>
      <c r="K55" s="13"/>
      <c r="L55" s="13"/>
      <c r="M55" s="2"/>
    </row>
    <row r="61" spans="3:13">
      <c r="H61" s="1" t="str">
        <f>CHAR(13)</f>
        <v>_x000D_</v>
      </c>
    </row>
  </sheetData>
  <mergeCells count="44">
    <mergeCell ref="J10:L10"/>
    <mergeCell ref="J11:L11"/>
    <mergeCell ref="E16:G16"/>
    <mergeCell ref="I16:K16"/>
    <mergeCell ref="E17:G17"/>
    <mergeCell ref="I17:K17"/>
    <mergeCell ref="E18:G18"/>
    <mergeCell ref="I18:K18"/>
    <mergeCell ref="F21:G21"/>
    <mergeCell ref="J21:L21"/>
    <mergeCell ref="F22:G22"/>
    <mergeCell ref="J22:L22"/>
    <mergeCell ref="F23:G23"/>
    <mergeCell ref="J23:L23"/>
    <mergeCell ref="F24:G24"/>
    <mergeCell ref="J24:L24"/>
    <mergeCell ref="F25:G25"/>
    <mergeCell ref="J25:L25"/>
    <mergeCell ref="F26:G26"/>
    <mergeCell ref="J26:L26"/>
    <mergeCell ref="F27:G27"/>
    <mergeCell ref="J27:L27"/>
    <mergeCell ref="F28:G28"/>
    <mergeCell ref="J28:L28"/>
    <mergeCell ref="F29:G29"/>
    <mergeCell ref="J29:L29"/>
    <mergeCell ref="F30:G30"/>
    <mergeCell ref="J30:L30"/>
    <mergeCell ref="F31:G31"/>
    <mergeCell ref="J31:L31"/>
    <mergeCell ref="F32:G32"/>
    <mergeCell ref="J32:L32"/>
    <mergeCell ref="F33:G33"/>
    <mergeCell ref="J33:L33"/>
    <mergeCell ref="F34:G34"/>
    <mergeCell ref="J34:L34"/>
    <mergeCell ref="E48:L51"/>
    <mergeCell ref="E54:L54"/>
    <mergeCell ref="G36:I36"/>
    <mergeCell ref="J36:L36"/>
    <mergeCell ref="G37:I37"/>
    <mergeCell ref="J37:L37"/>
    <mergeCell ref="G38:I38"/>
    <mergeCell ref="J38:L38"/>
  </mergeCells>
  <dataValidations count="2">
    <dataValidation type="list" allowBlank="1" showInputMessage="1" showErrorMessage="1" sqref="F22:G34" xr:uid="{E3FD74F3-EA4C-46B1-B3B8-2D4CE15878D8}">
      <formula1>INDIRECT("Produits[DÉSIGNATION]")</formula1>
    </dataValidation>
    <dataValidation type="list" allowBlank="1" showInputMessage="1" showErrorMessage="1" sqref="I16:K16" xr:uid="{DDDE7B20-23D5-44CE-9B84-DD8214977FEA}">
      <formula1>INDIRECT("Clients[Nom]")</formula1>
    </dataValidation>
  </dataValidations>
  <printOptions horizontalCentered="1" verticalCentered="1"/>
  <pageMargins left="0" right="0" top="0" bottom="0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FF153-AA57-4055-8F76-6C46EB5BE20D}">
  <sheetPr codeName="Feuil6"/>
  <dimension ref="A1:AB85"/>
  <sheetViews>
    <sheetView zoomScale="80" zoomScaleNormal="80" workbookViewId="0">
      <selection activeCell="E10" sqref="E10"/>
    </sheetView>
  </sheetViews>
  <sheetFormatPr baseColWidth="10" defaultColWidth="8.88671875" defaultRowHeight="14.4"/>
  <cols>
    <col min="1" max="2" width="8.88671875" style="1"/>
    <col min="3" max="3" width="3.77734375" style="1" customWidth="1"/>
    <col min="4" max="4" width="5.77734375" style="1" customWidth="1"/>
    <col min="5" max="5" width="21.33203125" style="1" customWidth="1"/>
    <col min="6" max="6" width="15.33203125" style="1" customWidth="1"/>
    <col min="7" max="7" width="23" style="1" customWidth="1"/>
    <col min="8" max="8" width="19" style="1" customWidth="1"/>
    <col min="9" max="9" width="24.88671875" style="1" customWidth="1"/>
    <col min="10" max="10" width="24.6640625" style="1" customWidth="1"/>
    <col min="11" max="11" width="25" style="1" customWidth="1"/>
    <col min="12" max="12" width="5.77734375" style="1" customWidth="1"/>
    <col min="13" max="13" width="3.77734375" style="1" customWidth="1"/>
    <col min="14" max="14" width="8.88671875" style="1"/>
    <col min="15" max="15" width="4.6640625" style="1" customWidth="1"/>
    <col min="16" max="16" width="8.88671875" style="1"/>
    <col min="17" max="17" width="99.88671875" style="1" customWidth="1"/>
    <col min="18" max="21" width="11.109375" style="1" customWidth="1"/>
    <col min="22" max="16384" width="8.88671875" style="1"/>
  </cols>
  <sheetData>
    <row r="1" spans="1:28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 ht="10.8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8" spans="1:28">
      <c r="D8" s="2"/>
      <c r="E8" s="2"/>
      <c r="F8" s="2"/>
      <c r="G8" s="2"/>
      <c r="H8" s="2"/>
      <c r="I8" s="2"/>
      <c r="J8" s="2"/>
      <c r="K8" s="2"/>
      <c r="L8" s="2"/>
      <c r="M8" s="2"/>
      <c r="Q8" s="2"/>
    </row>
    <row r="9" spans="1:28" ht="19.95" customHeight="1">
      <c r="D9" s="2"/>
      <c r="E9" s="35" t="s">
        <v>129</v>
      </c>
      <c r="F9" s="35" t="s">
        <v>130</v>
      </c>
      <c r="G9" s="35" t="s">
        <v>131</v>
      </c>
      <c r="H9" s="35" t="s">
        <v>132</v>
      </c>
      <c r="I9" s="35" t="s">
        <v>133</v>
      </c>
      <c r="J9" s="35" t="s">
        <v>134</v>
      </c>
      <c r="K9" s="35" t="s">
        <v>135</v>
      </c>
      <c r="L9" s="2"/>
      <c r="M9" s="2"/>
      <c r="Q9" s="40" t="s">
        <v>19</v>
      </c>
    </row>
    <row r="10" spans="1:28" s="41" customFormat="1" ht="19.95" customHeight="1">
      <c r="D10" s="42"/>
      <c r="E10" s="36" t="s">
        <v>244</v>
      </c>
      <c r="F10" s="38">
        <v>45613</v>
      </c>
      <c r="G10" s="37" t="s">
        <v>75</v>
      </c>
      <c r="H10" s="39">
        <v>1856.4</v>
      </c>
      <c r="I10" s="36" t="s">
        <v>137</v>
      </c>
      <c r="J10" s="36"/>
      <c r="K10" s="55" t="s">
        <v>139</v>
      </c>
      <c r="L10" s="42"/>
      <c r="M10" s="42"/>
      <c r="Q10" s="40" t="s">
        <v>245</v>
      </c>
    </row>
    <row r="11" spans="1:28" s="41" customFormat="1" ht="19.95" customHeight="1">
      <c r="D11" s="42"/>
      <c r="E11" s="36" t="s">
        <v>242</v>
      </c>
      <c r="F11" s="38">
        <v>45613</v>
      </c>
      <c r="G11" s="37" t="s">
        <v>109</v>
      </c>
      <c r="H11" s="39">
        <v>536.4</v>
      </c>
      <c r="I11" s="36" t="s">
        <v>137</v>
      </c>
      <c r="J11" s="36"/>
      <c r="K11" s="55" t="s">
        <v>139</v>
      </c>
      <c r="L11" s="42"/>
      <c r="M11" s="42"/>
      <c r="Q11" s="40" t="s">
        <v>243</v>
      </c>
    </row>
    <row r="12" spans="1:28" s="41" customFormat="1" ht="19.95" customHeight="1">
      <c r="D12" s="42"/>
      <c r="E12" s="36" t="s">
        <v>240</v>
      </c>
      <c r="F12" s="38">
        <v>45613</v>
      </c>
      <c r="G12" s="37" t="s">
        <v>67</v>
      </c>
      <c r="H12" s="39">
        <v>2582.4</v>
      </c>
      <c r="I12" s="36" t="s">
        <v>137</v>
      </c>
      <c r="J12" s="36"/>
      <c r="K12" s="55" t="s">
        <v>139</v>
      </c>
      <c r="L12" s="42"/>
      <c r="M12" s="42"/>
      <c r="Q12" s="40" t="s">
        <v>241</v>
      </c>
    </row>
    <row r="13" spans="1:28" s="41" customFormat="1" ht="19.95" customHeight="1">
      <c r="D13" s="42"/>
      <c r="E13" s="36" t="s">
        <v>146</v>
      </c>
      <c r="F13" s="38">
        <v>45613</v>
      </c>
      <c r="G13" s="37" t="s">
        <v>67</v>
      </c>
      <c r="H13" s="39">
        <v>1291.2</v>
      </c>
      <c r="I13" s="36" t="s">
        <v>148</v>
      </c>
      <c r="J13" s="36" t="s">
        <v>149</v>
      </c>
      <c r="K13" s="55" t="s">
        <v>139</v>
      </c>
      <c r="L13" s="42"/>
      <c r="M13" s="42"/>
      <c r="Q13" s="40" t="s">
        <v>147</v>
      </c>
    </row>
    <row r="14" spans="1:28" s="41" customFormat="1" ht="19.95" customHeight="1">
      <c r="D14" s="42"/>
      <c r="E14" s="36" t="s">
        <v>144</v>
      </c>
      <c r="F14" s="38">
        <v>45613</v>
      </c>
      <c r="G14" s="37" t="s">
        <v>66</v>
      </c>
      <c r="H14" s="39">
        <v>1291.2</v>
      </c>
      <c r="I14" s="36" t="s">
        <v>137</v>
      </c>
      <c r="J14" s="36"/>
      <c r="K14" s="55" t="s">
        <v>139</v>
      </c>
      <c r="L14" s="42"/>
      <c r="M14" s="42"/>
      <c r="Q14" s="40" t="s">
        <v>145</v>
      </c>
    </row>
    <row r="15" spans="1:28" s="41" customFormat="1" ht="19.95" customHeight="1">
      <c r="D15" s="42"/>
      <c r="E15" s="36" t="s">
        <v>142</v>
      </c>
      <c r="F15" s="38">
        <v>45613</v>
      </c>
      <c r="G15" s="37" t="s">
        <v>68</v>
      </c>
      <c r="H15" s="39">
        <v>10432.799999999999</v>
      </c>
      <c r="I15" s="36" t="s">
        <v>148</v>
      </c>
      <c r="J15" s="36" t="s">
        <v>150</v>
      </c>
      <c r="K15" s="55" t="s">
        <v>139</v>
      </c>
      <c r="L15" s="42"/>
      <c r="M15" s="42"/>
      <c r="Q15" s="40" t="s">
        <v>143</v>
      </c>
    </row>
    <row r="16" spans="1:28" ht="19.95" customHeight="1">
      <c r="D16" s="2"/>
      <c r="E16" s="36" t="s">
        <v>136</v>
      </c>
      <c r="F16" s="38">
        <v>45612</v>
      </c>
      <c r="G16" s="37" t="s">
        <v>67</v>
      </c>
      <c r="H16" s="39">
        <v>10648.8</v>
      </c>
      <c r="I16" s="36" t="s">
        <v>137</v>
      </c>
      <c r="J16" s="36"/>
      <c r="K16" s="55" t="s">
        <v>139</v>
      </c>
      <c r="L16" s="2"/>
      <c r="M16" s="2"/>
      <c r="Q16" s="40" t="s">
        <v>138</v>
      </c>
    </row>
    <row r="17" spans="3:17" ht="19.95" customHeight="1">
      <c r="D17" s="2"/>
      <c r="E17" s="36" t="s">
        <v>159</v>
      </c>
      <c r="F17" s="38">
        <v>45612</v>
      </c>
      <c r="G17" s="37" t="s">
        <v>75</v>
      </c>
      <c r="H17" s="39">
        <v>6516</v>
      </c>
      <c r="I17" s="36" t="s">
        <v>137</v>
      </c>
      <c r="J17" s="36"/>
      <c r="K17" s="55" t="s">
        <v>139</v>
      </c>
      <c r="L17" s="2"/>
      <c r="M17" s="2"/>
      <c r="Q17" s="40" t="s">
        <v>160</v>
      </c>
    </row>
    <row r="18" spans="3:17" ht="19.95" customHeight="1">
      <c r="D18" s="2"/>
      <c r="E18" s="36" t="s">
        <v>157</v>
      </c>
      <c r="F18" s="38">
        <v>45612</v>
      </c>
      <c r="G18" s="37" t="s">
        <v>64</v>
      </c>
      <c r="H18" s="39">
        <v>1626</v>
      </c>
      <c r="I18" s="36" t="s">
        <v>148</v>
      </c>
      <c r="J18" s="36" t="s">
        <v>161</v>
      </c>
      <c r="K18" s="55" t="s">
        <v>139</v>
      </c>
      <c r="L18" s="2"/>
      <c r="M18" s="2"/>
      <c r="Q18" s="40" t="s">
        <v>158</v>
      </c>
    </row>
    <row r="19" spans="3:17" ht="19.95" customHeight="1">
      <c r="D19" s="2"/>
      <c r="E19" s="36" t="s">
        <v>155</v>
      </c>
      <c r="F19" s="38">
        <v>45612</v>
      </c>
      <c r="G19" s="37" t="s">
        <v>0</v>
      </c>
      <c r="H19" s="39">
        <v>6890.4</v>
      </c>
      <c r="I19" s="36" t="s">
        <v>137</v>
      </c>
      <c r="J19" s="36"/>
      <c r="K19" s="55" t="s">
        <v>139</v>
      </c>
      <c r="L19" s="2"/>
      <c r="M19" s="2"/>
      <c r="Q19" s="40" t="s">
        <v>156</v>
      </c>
    </row>
    <row r="20" spans="3:17" ht="19.95" customHeight="1">
      <c r="D20" s="2"/>
      <c r="E20" s="36" t="s">
        <v>153</v>
      </c>
      <c r="F20" s="38">
        <v>45612</v>
      </c>
      <c r="G20" s="37" t="s">
        <v>74</v>
      </c>
      <c r="H20" s="39">
        <v>3424.8</v>
      </c>
      <c r="I20" s="36" t="s">
        <v>137</v>
      </c>
      <c r="J20" s="36"/>
      <c r="K20" s="55" t="s">
        <v>139</v>
      </c>
      <c r="L20" s="2"/>
      <c r="M20" s="2"/>
      <c r="Q20" s="40" t="s">
        <v>154</v>
      </c>
    </row>
    <row r="21" spans="3:17" ht="19.95" customHeight="1">
      <c r="D21" s="2"/>
      <c r="E21" s="36" t="s">
        <v>146</v>
      </c>
      <c r="F21" s="38">
        <v>45612</v>
      </c>
      <c r="G21" s="37" t="s">
        <v>74</v>
      </c>
      <c r="H21" s="39">
        <v>3424.8</v>
      </c>
      <c r="I21" s="36" t="s">
        <v>148</v>
      </c>
      <c r="J21" s="36" t="s">
        <v>150</v>
      </c>
      <c r="K21" s="55" t="s">
        <v>139</v>
      </c>
      <c r="L21" s="2"/>
      <c r="M21" s="2"/>
      <c r="Q21" s="40" t="s">
        <v>147</v>
      </c>
    </row>
    <row r="22" spans="3:17" ht="19.95" customHeight="1">
      <c r="D22" s="2"/>
      <c r="E22" s="36" t="s">
        <v>144</v>
      </c>
      <c r="F22" s="38">
        <v>45612</v>
      </c>
      <c r="G22" s="37" t="s">
        <v>83</v>
      </c>
      <c r="H22" s="39">
        <v>680.4</v>
      </c>
      <c r="I22" s="36" t="s">
        <v>137</v>
      </c>
      <c r="J22" s="36"/>
      <c r="K22" s="55" t="s">
        <v>139</v>
      </c>
      <c r="L22" s="2"/>
      <c r="M22" s="2"/>
      <c r="Q22" s="40" t="s">
        <v>145</v>
      </c>
    </row>
    <row r="23" spans="3:17" ht="19.95" customHeight="1">
      <c r="D23" s="2"/>
      <c r="E23" s="36" t="s">
        <v>142</v>
      </c>
      <c r="F23" s="38">
        <v>45612</v>
      </c>
      <c r="G23" s="37" t="s">
        <v>77</v>
      </c>
      <c r="H23" s="39">
        <v>6684</v>
      </c>
      <c r="I23" s="36" t="s">
        <v>148</v>
      </c>
      <c r="J23" s="36" t="s">
        <v>149</v>
      </c>
      <c r="K23" s="55" t="s">
        <v>139</v>
      </c>
      <c r="L23" s="2"/>
      <c r="M23" s="2"/>
      <c r="Q23" s="40" t="s">
        <v>143</v>
      </c>
    </row>
    <row r="24" spans="3:17" ht="19.95" customHeight="1">
      <c r="D24" s="2"/>
      <c r="E24" s="36" t="s">
        <v>140</v>
      </c>
      <c r="F24" s="38">
        <v>45612</v>
      </c>
      <c r="G24" s="37" t="s">
        <v>69</v>
      </c>
      <c r="H24" s="39">
        <v>7304.4</v>
      </c>
      <c r="I24" s="36" t="s">
        <v>137</v>
      </c>
      <c r="J24" s="36"/>
      <c r="K24" s="55" t="s">
        <v>139</v>
      </c>
      <c r="L24" s="2"/>
      <c r="M24" s="2"/>
      <c r="Q24" s="40" t="s">
        <v>141</v>
      </c>
    </row>
    <row r="25" spans="3:17" ht="19.95" customHeight="1">
      <c r="D25" s="2"/>
      <c r="E25" s="36" t="s">
        <v>136</v>
      </c>
      <c r="F25" s="38">
        <v>45612</v>
      </c>
      <c r="G25" s="37" t="s">
        <v>75</v>
      </c>
      <c r="H25" s="39">
        <v>968.4</v>
      </c>
      <c r="I25" s="36" t="s">
        <v>137</v>
      </c>
      <c r="J25" s="36"/>
      <c r="K25" s="55" t="s">
        <v>139</v>
      </c>
      <c r="L25" s="2"/>
      <c r="M25" s="2"/>
      <c r="Q25" s="40" t="s">
        <v>138</v>
      </c>
    </row>
    <row r="26" spans="3:17" s="41" customFormat="1" ht="19.95" customHeight="1">
      <c r="C26" s="42"/>
      <c r="D26" s="42"/>
      <c r="E26" s="36" t="s">
        <v>167</v>
      </c>
      <c r="F26" s="38">
        <v>44765</v>
      </c>
      <c r="G26" s="37" t="s">
        <v>0</v>
      </c>
      <c r="H26" s="39">
        <v>1078.8</v>
      </c>
      <c r="I26" s="36" t="s">
        <v>137</v>
      </c>
      <c r="J26" s="36"/>
      <c r="K26" s="55" t="s">
        <v>139</v>
      </c>
      <c r="L26" s="42"/>
      <c r="M26" s="42"/>
      <c r="Q26" s="56"/>
    </row>
    <row r="27" spans="3:17" ht="19.95" customHeight="1">
      <c r="D27" s="2"/>
      <c r="E27" s="36" t="s">
        <v>168</v>
      </c>
      <c r="F27" s="38">
        <v>44765</v>
      </c>
      <c r="G27" s="37" t="s">
        <v>64</v>
      </c>
      <c r="H27" s="39">
        <v>2157.6</v>
      </c>
      <c r="I27" s="36" t="s">
        <v>137</v>
      </c>
      <c r="J27" s="5"/>
      <c r="K27" s="55" t="s">
        <v>139</v>
      </c>
      <c r="L27" s="2"/>
      <c r="M27" s="2"/>
      <c r="Q27" s="2"/>
    </row>
    <row r="28" spans="3:17" ht="19.95" customHeight="1">
      <c r="E28" s="36" t="s">
        <v>169</v>
      </c>
      <c r="F28" s="38">
        <v>44749</v>
      </c>
      <c r="G28" s="37" t="s">
        <v>80</v>
      </c>
      <c r="H28" s="39">
        <v>6051.6</v>
      </c>
      <c r="I28" s="36" t="s">
        <v>137</v>
      </c>
      <c r="J28" s="5"/>
      <c r="K28" s="55" t="s">
        <v>139</v>
      </c>
      <c r="Q28" s="2"/>
    </row>
    <row r="29" spans="3:17" ht="19.95" customHeight="1">
      <c r="E29" s="36" t="s">
        <v>170</v>
      </c>
      <c r="F29" s="38">
        <v>44748</v>
      </c>
      <c r="G29" s="37" t="s">
        <v>64</v>
      </c>
      <c r="H29" s="39">
        <v>4424.3999999999996</v>
      </c>
      <c r="I29" s="36" t="s">
        <v>137</v>
      </c>
      <c r="J29" s="5"/>
      <c r="K29" s="55" t="s">
        <v>139</v>
      </c>
      <c r="Q29" s="2"/>
    </row>
    <row r="30" spans="3:17" ht="19.95" customHeight="1">
      <c r="E30" s="36" t="s">
        <v>171</v>
      </c>
      <c r="F30" s="38">
        <v>44745</v>
      </c>
      <c r="G30" s="37" t="s">
        <v>63</v>
      </c>
      <c r="H30" s="39">
        <v>322.8</v>
      </c>
      <c r="I30" s="36" t="s">
        <v>148</v>
      </c>
      <c r="J30" s="5" t="s">
        <v>149</v>
      </c>
      <c r="K30" s="55" t="s">
        <v>139</v>
      </c>
    </row>
    <row r="31" spans="3:17" ht="19.95" customHeight="1">
      <c r="E31" s="36" t="s">
        <v>172</v>
      </c>
      <c r="F31" s="38">
        <v>44749</v>
      </c>
      <c r="G31" s="37" t="s">
        <v>84</v>
      </c>
      <c r="H31" s="39">
        <v>1078.8</v>
      </c>
      <c r="I31" s="36" t="s">
        <v>148</v>
      </c>
      <c r="J31" s="5" t="s">
        <v>161</v>
      </c>
      <c r="K31" s="55" t="s">
        <v>139</v>
      </c>
    </row>
    <row r="32" spans="3:17" ht="19.95" customHeight="1">
      <c r="E32" s="36" t="s">
        <v>173</v>
      </c>
      <c r="F32" s="38">
        <v>44749</v>
      </c>
      <c r="G32" s="37" t="s">
        <v>68</v>
      </c>
      <c r="H32" s="39">
        <v>1137.5999999999999</v>
      </c>
      <c r="I32" s="36" t="s">
        <v>148</v>
      </c>
      <c r="J32" s="5" t="s">
        <v>149</v>
      </c>
      <c r="K32" s="55" t="s">
        <v>139</v>
      </c>
    </row>
    <row r="33" spans="5:11" ht="16.8">
      <c r="E33" s="36" t="s">
        <v>174</v>
      </c>
      <c r="F33" s="38">
        <v>44739</v>
      </c>
      <c r="G33" s="37" t="s">
        <v>79</v>
      </c>
      <c r="H33" s="39">
        <v>1198.8</v>
      </c>
      <c r="I33" s="36" t="s">
        <v>137</v>
      </c>
      <c r="J33" s="5"/>
      <c r="K33" s="55" t="s">
        <v>139</v>
      </c>
    </row>
    <row r="34" spans="5:11" ht="16.8">
      <c r="E34" s="36" t="s">
        <v>175</v>
      </c>
      <c r="F34" s="38">
        <v>44739</v>
      </c>
      <c r="G34" s="37" t="s">
        <v>76</v>
      </c>
      <c r="H34" s="39">
        <v>4312.8</v>
      </c>
      <c r="I34" s="36" t="s">
        <v>148</v>
      </c>
      <c r="J34" s="5" t="s">
        <v>149</v>
      </c>
      <c r="K34" s="55" t="s">
        <v>139</v>
      </c>
    </row>
    <row r="35" spans="5:11" ht="16.8">
      <c r="E35" s="36" t="s">
        <v>176</v>
      </c>
      <c r="F35" s="38">
        <v>44723</v>
      </c>
      <c r="G35" s="37" t="s">
        <v>74</v>
      </c>
      <c r="H35" s="39">
        <v>1101.5999999999999</v>
      </c>
      <c r="I35" s="36" t="s">
        <v>148</v>
      </c>
      <c r="J35" s="5" t="s">
        <v>177</v>
      </c>
      <c r="K35" s="55" t="s">
        <v>139</v>
      </c>
    </row>
    <row r="36" spans="5:11" ht="16.8">
      <c r="E36" s="36" t="s">
        <v>178</v>
      </c>
      <c r="F36" s="38">
        <v>44723</v>
      </c>
      <c r="G36" s="37" t="s">
        <v>66</v>
      </c>
      <c r="H36" s="39">
        <v>5324.4</v>
      </c>
      <c r="I36" s="36" t="s">
        <v>148</v>
      </c>
      <c r="J36" s="5" t="s">
        <v>161</v>
      </c>
      <c r="K36" s="55" t="s">
        <v>139</v>
      </c>
    </row>
    <row r="37" spans="5:11" ht="16.8">
      <c r="E37" s="36" t="s">
        <v>179</v>
      </c>
      <c r="F37" s="38">
        <v>44723</v>
      </c>
      <c r="G37" s="37" t="s">
        <v>74</v>
      </c>
      <c r="H37" s="39">
        <v>712.8</v>
      </c>
      <c r="I37" s="36" t="s">
        <v>137</v>
      </c>
      <c r="J37" s="5"/>
      <c r="K37" s="55" t="s">
        <v>139</v>
      </c>
    </row>
    <row r="38" spans="5:11" ht="16.8">
      <c r="E38" s="36" t="s">
        <v>180</v>
      </c>
      <c r="F38" s="38">
        <v>44702</v>
      </c>
      <c r="G38" s="37" t="s">
        <v>79</v>
      </c>
      <c r="H38" s="39">
        <v>1078.8</v>
      </c>
      <c r="I38" s="36" t="s">
        <v>148</v>
      </c>
      <c r="J38" s="5" t="s">
        <v>161</v>
      </c>
      <c r="K38" s="55" t="s">
        <v>139</v>
      </c>
    </row>
    <row r="39" spans="5:11" ht="16.8">
      <c r="E39" s="36" t="s">
        <v>181</v>
      </c>
      <c r="F39" s="38">
        <v>44702</v>
      </c>
      <c r="G39" s="37" t="s">
        <v>82</v>
      </c>
      <c r="H39" s="39">
        <v>1893.6</v>
      </c>
      <c r="I39" s="36" t="s">
        <v>148</v>
      </c>
      <c r="J39" s="5" t="s">
        <v>161</v>
      </c>
      <c r="K39" s="55" t="s">
        <v>139</v>
      </c>
    </row>
    <row r="40" spans="5:11" ht="16.8">
      <c r="E40" s="36" t="s">
        <v>182</v>
      </c>
      <c r="F40" s="38">
        <v>44702</v>
      </c>
      <c r="G40" s="37" t="s">
        <v>72</v>
      </c>
      <c r="H40" s="39">
        <v>824.4</v>
      </c>
      <c r="I40" s="36" t="s">
        <v>137</v>
      </c>
      <c r="J40" s="5"/>
      <c r="K40" s="55" t="s">
        <v>139</v>
      </c>
    </row>
    <row r="41" spans="5:11" ht="16.8">
      <c r="E41" s="36" t="s">
        <v>183</v>
      </c>
      <c r="F41" s="38">
        <v>44686</v>
      </c>
      <c r="G41" s="37" t="s">
        <v>75</v>
      </c>
      <c r="H41" s="39">
        <v>356.4</v>
      </c>
      <c r="I41" s="36" t="s">
        <v>148</v>
      </c>
      <c r="J41" s="5" t="s">
        <v>161</v>
      </c>
      <c r="K41" s="55" t="s">
        <v>139</v>
      </c>
    </row>
    <row r="42" spans="5:11" ht="16.8">
      <c r="E42" s="36" t="s">
        <v>184</v>
      </c>
      <c r="F42" s="38">
        <v>44686</v>
      </c>
      <c r="G42" s="37" t="s">
        <v>78</v>
      </c>
      <c r="H42" s="39">
        <v>968.4</v>
      </c>
      <c r="I42" s="36" t="s">
        <v>148</v>
      </c>
      <c r="J42" s="5" t="s">
        <v>161</v>
      </c>
      <c r="K42" s="55" t="s">
        <v>139</v>
      </c>
    </row>
    <row r="43" spans="5:11" ht="16.8">
      <c r="E43" s="36" t="s">
        <v>185</v>
      </c>
      <c r="F43" s="38">
        <v>44669</v>
      </c>
      <c r="G43" s="37" t="s">
        <v>75</v>
      </c>
      <c r="H43" s="39">
        <v>2157.6</v>
      </c>
      <c r="I43" s="36" t="s">
        <v>137</v>
      </c>
      <c r="J43" s="5"/>
      <c r="K43" s="55" t="s">
        <v>139</v>
      </c>
    </row>
    <row r="44" spans="5:11" ht="16.8">
      <c r="E44" s="36" t="s">
        <v>186</v>
      </c>
      <c r="F44" s="38">
        <v>44662</v>
      </c>
      <c r="G44" s="37" t="s">
        <v>0</v>
      </c>
      <c r="H44" s="39">
        <v>7909.2</v>
      </c>
      <c r="I44" s="36" t="s">
        <v>148</v>
      </c>
      <c r="J44" s="5" t="s">
        <v>161</v>
      </c>
      <c r="K44" s="55" t="s">
        <v>139</v>
      </c>
    </row>
    <row r="45" spans="5:11" ht="16.8">
      <c r="E45" s="36" t="s">
        <v>187</v>
      </c>
      <c r="F45" s="38">
        <v>44662</v>
      </c>
      <c r="G45" s="37" t="s">
        <v>81</v>
      </c>
      <c r="H45" s="39">
        <v>2349.6</v>
      </c>
      <c r="I45" s="36" t="s">
        <v>137</v>
      </c>
      <c r="J45" s="5"/>
      <c r="K45" s="55" t="s">
        <v>139</v>
      </c>
    </row>
    <row r="46" spans="5:11" ht="16.8">
      <c r="E46" s="36" t="s">
        <v>188</v>
      </c>
      <c r="F46" s="38">
        <v>44662</v>
      </c>
      <c r="G46" s="37" t="s">
        <v>70</v>
      </c>
      <c r="H46" s="39">
        <v>1774.8</v>
      </c>
      <c r="I46" s="36" t="s">
        <v>148</v>
      </c>
      <c r="J46" s="5" t="s">
        <v>161</v>
      </c>
      <c r="K46" s="55" t="s">
        <v>139</v>
      </c>
    </row>
    <row r="47" spans="5:11" ht="16.8">
      <c r="E47" s="36" t="s">
        <v>189</v>
      </c>
      <c r="F47" s="38">
        <v>44662</v>
      </c>
      <c r="G47" s="37" t="s">
        <v>73</v>
      </c>
      <c r="H47" s="39">
        <v>968.4</v>
      </c>
      <c r="I47" s="36" t="s">
        <v>137</v>
      </c>
      <c r="J47" s="5"/>
      <c r="K47" s="55" t="s">
        <v>139</v>
      </c>
    </row>
    <row r="48" spans="5:11" ht="16.8">
      <c r="E48" s="36" t="s">
        <v>190</v>
      </c>
      <c r="F48" s="38">
        <v>44642</v>
      </c>
      <c r="G48" s="37" t="s">
        <v>83</v>
      </c>
      <c r="H48" s="39">
        <v>2275.1999999999998</v>
      </c>
      <c r="I48" s="36" t="s">
        <v>148</v>
      </c>
      <c r="J48" s="5" t="s">
        <v>149</v>
      </c>
      <c r="K48" s="55" t="s">
        <v>139</v>
      </c>
    </row>
    <row r="49" spans="5:11" ht="16.8">
      <c r="E49" s="36" t="s">
        <v>191</v>
      </c>
      <c r="F49" s="38">
        <v>44638</v>
      </c>
      <c r="G49" s="37" t="s">
        <v>68</v>
      </c>
      <c r="H49" s="39">
        <v>4208.3999999999996</v>
      </c>
      <c r="I49" s="36" t="s">
        <v>148</v>
      </c>
      <c r="J49" s="5" t="s">
        <v>177</v>
      </c>
      <c r="K49" s="55" t="s">
        <v>139</v>
      </c>
    </row>
    <row r="50" spans="5:11" ht="16.8">
      <c r="E50" s="36" t="s">
        <v>192</v>
      </c>
      <c r="F50" s="38">
        <v>44638</v>
      </c>
      <c r="G50" s="37" t="s">
        <v>66</v>
      </c>
      <c r="H50" s="39">
        <v>3596.4</v>
      </c>
      <c r="I50" s="36" t="s">
        <v>148</v>
      </c>
      <c r="J50" s="5" t="s">
        <v>161</v>
      </c>
      <c r="K50" s="55" t="s">
        <v>139</v>
      </c>
    </row>
    <row r="51" spans="5:11" ht="16.8">
      <c r="E51" s="36" t="s">
        <v>193</v>
      </c>
      <c r="F51" s="38">
        <v>44629</v>
      </c>
      <c r="G51" s="37" t="s">
        <v>65</v>
      </c>
      <c r="H51" s="39">
        <v>2685.6</v>
      </c>
      <c r="I51" s="36" t="s">
        <v>137</v>
      </c>
      <c r="J51" s="5"/>
      <c r="K51" s="55" t="s">
        <v>139</v>
      </c>
    </row>
    <row r="52" spans="5:11" ht="16.8">
      <c r="E52" s="36" t="s">
        <v>194</v>
      </c>
      <c r="F52" s="38">
        <v>44629</v>
      </c>
      <c r="G52" s="37" t="s">
        <v>63</v>
      </c>
      <c r="H52" s="39">
        <v>1652.4</v>
      </c>
      <c r="I52" s="36" t="s">
        <v>137</v>
      </c>
      <c r="J52" s="5"/>
      <c r="K52" s="55" t="s">
        <v>139</v>
      </c>
    </row>
    <row r="53" spans="5:11" ht="16.8">
      <c r="E53" s="36" t="s">
        <v>195</v>
      </c>
      <c r="F53" s="38">
        <v>44595</v>
      </c>
      <c r="G53" s="37" t="s">
        <v>72</v>
      </c>
      <c r="H53" s="39">
        <v>4208.3999999999996</v>
      </c>
      <c r="I53" s="36" t="s">
        <v>148</v>
      </c>
      <c r="J53" s="5" t="s">
        <v>149</v>
      </c>
      <c r="K53" s="55" t="s">
        <v>139</v>
      </c>
    </row>
    <row r="54" spans="5:11" ht="16.8">
      <c r="E54" s="36" t="s">
        <v>196</v>
      </c>
      <c r="F54" s="38">
        <v>44595</v>
      </c>
      <c r="G54" s="37" t="s">
        <v>71</v>
      </c>
      <c r="H54" s="39">
        <v>2155.1999999999998</v>
      </c>
      <c r="I54" s="36" t="s">
        <v>148</v>
      </c>
      <c r="J54" s="5" t="s">
        <v>177</v>
      </c>
      <c r="K54" s="55" t="s">
        <v>139</v>
      </c>
    </row>
    <row r="55" spans="5:11" ht="16.8">
      <c r="E55" s="36" t="s">
        <v>197</v>
      </c>
      <c r="F55" s="38">
        <v>44595</v>
      </c>
      <c r="G55" s="37" t="s">
        <v>84</v>
      </c>
      <c r="H55" s="39">
        <v>2840.4</v>
      </c>
      <c r="I55" s="36" t="s">
        <v>137</v>
      </c>
      <c r="J55" s="5"/>
      <c r="K55" s="55" t="s">
        <v>139</v>
      </c>
    </row>
    <row r="56" spans="5:11" ht="16.8">
      <c r="E56" s="36" t="s">
        <v>198</v>
      </c>
      <c r="F56" s="38">
        <v>44595</v>
      </c>
      <c r="G56" s="37" t="s">
        <v>79</v>
      </c>
      <c r="H56" s="39">
        <v>3596.4</v>
      </c>
      <c r="I56" s="36" t="s">
        <v>148</v>
      </c>
      <c r="J56" s="5" t="s">
        <v>149</v>
      </c>
      <c r="K56" s="55" t="s">
        <v>139</v>
      </c>
    </row>
    <row r="57" spans="5:11" ht="16.8">
      <c r="E57" s="36" t="s">
        <v>199</v>
      </c>
      <c r="F57" s="38">
        <v>44595</v>
      </c>
      <c r="G57" s="37" t="s">
        <v>81</v>
      </c>
      <c r="H57" s="39">
        <v>3236.4</v>
      </c>
      <c r="I57" s="36" t="s">
        <v>137</v>
      </c>
      <c r="J57" s="5"/>
      <c r="K57" s="55" t="s">
        <v>139</v>
      </c>
    </row>
    <row r="58" spans="5:11" ht="16.8">
      <c r="E58" s="36" t="s">
        <v>200</v>
      </c>
      <c r="F58" s="38">
        <v>44585</v>
      </c>
      <c r="G58" s="37" t="s">
        <v>78</v>
      </c>
      <c r="H58" s="39">
        <v>1194</v>
      </c>
      <c r="I58" s="36" t="s">
        <v>148</v>
      </c>
      <c r="J58" s="5" t="s">
        <v>161</v>
      </c>
      <c r="K58" s="55" t="s">
        <v>139</v>
      </c>
    </row>
    <row r="59" spans="5:11" ht="16.8">
      <c r="E59" s="36" t="s">
        <v>201</v>
      </c>
      <c r="F59" s="38">
        <v>44565</v>
      </c>
      <c r="G59" s="37" t="s">
        <v>79</v>
      </c>
      <c r="H59" s="39">
        <v>1291.2</v>
      </c>
      <c r="I59" s="36" t="s">
        <v>148</v>
      </c>
      <c r="J59" s="5" t="s">
        <v>177</v>
      </c>
      <c r="K59" s="55" t="s">
        <v>139</v>
      </c>
    </row>
    <row r="60" spans="5:11" ht="16.8">
      <c r="E60" s="36" t="s">
        <v>202</v>
      </c>
      <c r="F60" s="38">
        <v>44565</v>
      </c>
      <c r="G60" s="37" t="s">
        <v>73</v>
      </c>
      <c r="H60" s="39">
        <v>2156.4</v>
      </c>
      <c r="I60" s="36" t="s">
        <v>148</v>
      </c>
      <c r="J60" s="5" t="s">
        <v>149</v>
      </c>
      <c r="K60" s="55" t="s">
        <v>139</v>
      </c>
    </row>
    <row r="61" spans="5:11" ht="16.8">
      <c r="E61" s="36" t="s">
        <v>203</v>
      </c>
      <c r="F61" s="38">
        <v>44565</v>
      </c>
      <c r="G61" s="37" t="s">
        <v>74</v>
      </c>
      <c r="H61" s="39">
        <v>1099.2</v>
      </c>
      <c r="I61" s="36" t="s">
        <v>148</v>
      </c>
      <c r="J61" s="5" t="s">
        <v>161</v>
      </c>
      <c r="K61" s="55" t="s">
        <v>139</v>
      </c>
    </row>
    <row r="62" spans="5:11" ht="16.8">
      <c r="E62" s="36" t="s">
        <v>204</v>
      </c>
      <c r="F62" s="38">
        <v>44565</v>
      </c>
      <c r="G62" s="37" t="s">
        <v>72</v>
      </c>
      <c r="H62" s="39">
        <v>2875.2</v>
      </c>
      <c r="I62" s="36" t="s">
        <v>148</v>
      </c>
      <c r="J62" s="5" t="s">
        <v>161</v>
      </c>
      <c r="K62" s="55" t="s">
        <v>139</v>
      </c>
    </row>
    <row r="63" spans="5:11" ht="16.8">
      <c r="E63" s="36" t="s">
        <v>205</v>
      </c>
      <c r="F63" s="38">
        <v>44559</v>
      </c>
      <c r="G63" s="37" t="s">
        <v>79</v>
      </c>
      <c r="H63" s="39">
        <v>950.4</v>
      </c>
      <c r="I63" s="36" t="s">
        <v>148</v>
      </c>
      <c r="J63" s="5" t="s">
        <v>177</v>
      </c>
      <c r="K63" s="55" t="s">
        <v>139</v>
      </c>
    </row>
    <row r="64" spans="5:11" ht="16.8">
      <c r="E64" s="36" t="s">
        <v>206</v>
      </c>
      <c r="F64" s="38">
        <v>44559</v>
      </c>
      <c r="G64" s="37" t="s">
        <v>83</v>
      </c>
      <c r="H64" s="39">
        <v>964.8</v>
      </c>
      <c r="I64" s="36" t="s">
        <v>148</v>
      </c>
      <c r="J64" s="5" t="s">
        <v>149</v>
      </c>
      <c r="K64" s="55" t="s">
        <v>139</v>
      </c>
    </row>
    <row r="65" spans="5:11" ht="16.8">
      <c r="E65" s="36" t="s">
        <v>207</v>
      </c>
      <c r="F65" s="38">
        <v>44559</v>
      </c>
      <c r="G65" s="37" t="s">
        <v>75</v>
      </c>
      <c r="H65" s="39">
        <v>7099.2</v>
      </c>
      <c r="I65" s="36" t="s">
        <v>148</v>
      </c>
      <c r="J65" s="5" t="s">
        <v>177</v>
      </c>
      <c r="K65" s="55" t="s">
        <v>139</v>
      </c>
    </row>
    <row r="66" spans="5:11" ht="16.8">
      <c r="E66" s="36" t="s">
        <v>208</v>
      </c>
      <c r="F66" s="38">
        <v>44559</v>
      </c>
      <c r="G66" s="37" t="s">
        <v>67</v>
      </c>
      <c r="H66" s="39">
        <v>968.4</v>
      </c>
      <c r="I66" s="36" t="s">
        <v>148</v>
      </c>
      <c r="J66" s="5" t="s">
        <v>177</v>
      </c>
      <c r="K66" s="55" t="s">
        <v>139</v>
      </c>
    </row>
    <row r="67" spans="5:11" ht="16.8">
      <c r="E67" s="36" t="s">
        <v>209</v>
      </c>
      <c r="F67" s="38">
        <v>44559</v>
      </c>
      <c r="G67" s="37" t="s">
        <v>65</v>
      </c>
      <c r="H67" s="39">
        <v>2008.8</v>
      </c>
      <c r="I67" s="36" t="s">
        <v>148</v>
      </c>
      <c r="J67" s="5" t="s">
        <v>149</v>
      </c>
      <c r="K67" s="55" t="s">
        <v>139</v>
      </c>
    </row>
    <row r="68" spans="5:11" ht="16.8">
      <c r="E68" s="36" t="s">
        <v>210</v>
      </c>
      <c r="F68" s="38">
        <v>44521</v>
      </c>
      <c r="G68" s="37" t="s">
        <v>65</v>
      </c>
      <c r="H68" s="39">
        <v>1432.8</v>
      </c>
      <c r="I68" s="36" t="s">
        <v>148</v>
      </c>
      <c r="J68" s="5" t="s">
        <v>177</v>
      </c>
      <c r="K68" s="55" t="s">
        <v>139</v>
      </c>
    </row>
    <row r="69" spans="5:11" ht="16.8">
      <c r="E69" s="36" t="s">
        <v>211</v>
      </c>
      <c r="F69" s="38">
        <v>44521</v>
      </c>
      <c r="G69" s="37" t="s">
        <v>0</v>
      </c>
      <c r="H69" s="39">
        <v>7574.4</v>
      </c>
      <c r="I69" s="36" t="s">
        <v>148</v>
      </c>
      <c r="J69" s="5" t="s">
        <v>149</v>
      </c>
      <c r="K69" s="55" t="s">
        <v>139</v>
      </c>
    </row>
    <row r="70" spans="5:11" ht="16.8">
      <c r="E70" s="36" t="s">
        <v>212</v>
      </c>
      <c r="F70" s="38">
        <v>44521</v>
      </c>
      <c r="G70" s="37" t="s">
        <v>64</v>
      </c>
      <c r="H70" s="39">
        <v>3236.4</v>
      </c>
      <c r="I70" s="36" t="s">
        <v>148</v>
      </c>
      <c r="J70" s="5" t="s">
        <v>177</v>
      </c>
      <c r="K70" s="55" t="s">
        <v>139</v>
      </c>
    </row>
    <row r="71" spans="5:11" ht="16.8">
      <c r="E71" s="36" t="s">
        <v>212</v>
      </c>
      <c r="F71" s="38">
        <v>44521</v>
      </c>
      <c r="G71" s="37" t="s">
        <v>64</v>
      </c>
      <c r="H71" s="39">
        <v>3236.4</v>
      </c>
      <c r="I71" s="36" t="s">
        <v>148</v>
      </c>
      <c r="J71" s="5" t="s">
        <v>149</v>
      </c>
      <c r="K71" s="55" t="s">
        <v>139</v>
      </c>
    </row>
    <row r="72" spans="5:11" ht="16.8">
      <c r="E72" s="36" t="s">
        <v>213</v>
      </c>
      <c r="F72" s="38">
        <v>44502</v>
      </c>
      <c r="G72" s="37" t="s">
        <v>82</v>
      </c>
      <c r="H72" s="39">
        <v>2707.2</v>
      </c>
      <c r="I72" s="36" t="s">
        <v>148</v>
      </c>
      <c r="J72" s="5" t="s">
        <v>161</v>
      </c>
      <c r="K72" s="55" t="s">
        <v>139</v>
      </c>
    </row>
    <row r="73" spans="5:11" ht="16.8">
      <c r="E73" s="36" t="s">
        <v>214</v>
      </c>
      <c r="F73" s="38">
        <v>44502</v>
      </c>
      <c r="G73" s="37" t="s">
        <v>74</v>
      </c>
      <c r="H73" s="39">
        <v>3236.4</v>
      </c>
      <c r="I73" s="36" t="s">
        <v>148</v>
      </c>
      <c r="J73" s="5" t="s">
        <v>161</v>
      </c>
      <c r="K73" s="55" t="s">
        <v>139</v>
      </c>
    </row>
    <row r="74" spans="5:11" ht="16.8">
      <c r="E74" s="36" t="s">
        <v>215</v>
      </c>
      <c r="F74" s="38">
        <v>44495</v>
      </c>
      <c r="G74" s="37" t="s">
        <v>80</v>
      </c>
      <c r="H74" s="39">
        <v>1002</v>
      </c>
      <c r="I74" s="36" t="s">
        <v>148</v>
      </c>
      <c r="J74" s="5" t="s">
        <v>149</v>
      </c>
      <c r="K74" s="55" t="s">
        <v>139</v>
      </c>
    </row>
    <row r="75" spans="5:11" ht="16.8">
      <c r="E75" s="36" t="s">
        <v>216</v>
      </c>
      <c r="F75" s="38">
        <v>44483</v>
      </c>
      <c r="G75" s="37" t="s">
        <v>82</v>
      </c>
      <c r="H75" s="39">
        <v>712.8</v>
      </c>
      <c r="I75" s="36" t="s">
        <v>148</v>
      </c>
      <c r="J75" s="5" t="s">
        <v>149</v>
      </c>
      <c r="K75" s="55" t="s">
        <v>139</v>
      </c>
    </row>
    <row r="76" spans="5:11" ht="16.8">
      <c r="E76" s="36" t="s">
        <v>217</v>
      </c>
      <c r="F76" s="38">
        <v>44483</v>
      </c>
      <c r="G76" s="37" t="s">
        <v>73</v>
      </c>
      <c r="H76" s="39">
        <v>1614</v>
      </c>
      <c r="I76" s="36" t="s">
        <v>148</v>
      </c>
      <c r="J76" s="5" t="s">
        <v>177</v>
      </c>
      <c r="K76" s="55" t="s">
        <v>139</v>
      </c>
    </row>
    <row r="77" spans="5:11" ht="16.8">
      <c r="E77" s="36" t="s">
        <v>218</v>
      </c>
      <c r="F77" s="38">
        <v>44473</v>
      </c>
      <c r="G77" s="37" t="s">
        <v>74</v>
      </c>
      <c r="H77" s="39">
        <v>3236.4</v>
      </c>
      <c r="I77" s="36" t="s">
        <v>148</v>
      </c>
      <c r="J77" s="5" t="s">
        <v>161</v>
      </c>
      <c r="K77" s="55" t="s">
        <v>139</v>
      </c>
    </row>
    <row r="78" spans="5:11" ht="16.8">
      <c r="E78" s="36" t="s">
        <v>219</v>
      </c>
      <c r="F78" s="38">
        <v>44473</v>
      </c>
      <c r="G78" s="37" t="s">
        <v>84</v>
      </c>
      <c r="H78" s="39">
        <v>3477.6</v>
      </c>
      <c r="I78" s="36" t="s">
        <v>148</v>
      </c>
      <c r="J78" s="5" t="s">
        <v>177</v>
      </c>
      <c r="K78" s="55" t="s">
        <v>139</v>
      </c>
    </row>
    <row r="79" spans="5:11" ht="16.8">
      <c r="E79" s="36" t="s">
        <v>220</v>
      </c>
      <c r="F79" s="38">
        <v>44462</v>
      </c>
      <c r="G79" s="37" t="s">
        <v>75</v>
      </c>
      <c r="H79" s="39">
        <v>4887.6000000000004</v>
      </c>
      <c r="I79" s="36" t="s">
        <v>148</v>
      </c>
      <c r="J79" s="5" t="s">
        <v>149</v>
      </c>
      <c r="K79" s="55" t="s">
        <v>139</v>
      </c>
    </row>
    <row r="80" spans="5:11" ht="16.8">
      <c r="E80" s="36" t="s">
        <v>221</v>
      </c>
      <c r="F80" s="38">
        <v>44462</v>
      </c>
      <c r="G80" s="37" t="s">
        <v>83</v>
      </c>
      <c r="H80" s="39">
        <v>237.6</v>
      </c>
      <c r="I80" s="36" t="s">
        <v>148</v>
      </c>
      <c r="J80" s="5" t="s">
        <v>177</v>
      </c>
      <c r="K80" s="55" t="s">
        <v>139</v>
      </c>
    </row>
    <row r="81" spans="5:11" ht="16.8">
      <c r="E81" s="36" t="s">
        <v>222</v>
      </c>
      <c r="F81" s="38">
        <v>44462</v>
      </c>
      <c r="G81" s="37" t="s">
        <v>77</v>
      </c>
      <c r="H81" s="39">
        <v>7504.8</v>
      </c>
      <c r="I81" s="36" t="s">
        <v>148</v>
      </c>
      <c r="J81" s="5" t="s">
        <v>149</v>
      </c>
      <c r="K81" s="55" t="s">
        <v>139</v>
      </c>
    </row>
    <row r="82" spans="5:11" ht="16.8">
      <c r="E82" s="36" t="s">
        <v>223</v>
      </c>
      <c r="F82" s="38">
        <v>44460</v>
      </c>
      <c r="G82" s="37" t="s">
        <v>77</v>
      </c>
      <c r="H82" s="39">
        <v>2155.1999999999998</v>
      </c>
      <c r="I82" s="36" t="s">
        <v>148</v>
      </c>
      <c r="J82" s="5" t="s">
        <v>177</v>
      </c>
      <c r="K82" s="55" t="s">
        <v>139</v>
      </c>
    </row>
    <row r="83" spans="5:11" ht="16.8">
      <c r="E83" s="36" t="s">
        <v>224</v>
      </c>
      <c r="F83" s="38">
        <v>44455</v>
      </c>
      <c r="G83" s="37" t="s">
        <v>80</v>
      </c>
      <c r="H83" s="39">
        <v>3776.4</v>
      </c>
      <c r="I83" s="36" t="s">
        <v>148</v>
      </c>
      <c r="J83" s="5" t="s">
        <v>161</v>
      </c>
      <c r="K83" s="55" t="s">
        <v>139</v>
      </c>
    </row>
    <row r="84" spans="5:11" ht="16.8">
      <c r="E84" s="36" t="s">
        <v>225</v>
      </c>
      <c r="F84" s="38">
        <v>44424</v>
      </c>
      <c r="G84" s="37" t="s">
        <v>79</v>
      </c>
      <c r="H84" s="39">
        <v>2995.2</v>
      </c>
      <c r="I84" s="36" t="s">
        <v>148</v>
      </c>
      <c r="J84" s="5" t="s">
        <v>149</v>
      </c>
      <c r="K84" s="55" t="s">
        <v>139</v>
      </c>
    </row>
    <row r="85" spans="5:11">
      <c r="H85" s="1" t="str">
        <f>CHAR(13)</f>
        <v>_x000D_</v>
      </c>
    </row>
  </sheetData>
  <conditionalFormatting sqref="I10:I84">
    <cfRule type="containsText" dxfId="59" priority="41" operator="containsText" text="Impayée">
      <formula>NOT(ISERROR(SEARCH("Impayée",I10)))</formula>
    </cfRule>
  </conditionalFormatting>
  <conditionalFormatting sqref="I26">
    <cfRule type="containsText" dxfId="58" priority="40" operator="containsText" text="Impayée">
      <formula>NOT(ISERROR(SEARCH("Impayée",I26)))</formula>
    </cfRule>
  </conditionalFormatting>
  <conditionalFormatting sqref="I27">
    <cfRule type="containsText" dxfId="57" priority="39" operator="containsText" text="Impayée">
      <formula>NOT(ISERROR(SEARCH("Impayée",I27)))</formula>
    </cfRule>
  </conditionalFormatting>
  <conditionalFormatting sqref="I28">
    <cfRule type="containsText" dxfId="56" priority="38" operator="containsText" text="Impayée">
      <formula>NOT(ISERROR(SEARCH("Impayée",I28)))</formula>
    </cfRule>
  </conditionalFormatting>
  <conditionalFormatting sqref="I29">
    <cfRule type="containsText" dxfId="55" priority="37" operator="containsText" text="Impayée">
      <formula>NOT(ISERROR(SEARCH("Impayée",I29)))</formula>
    </cfRule>
  </conditionalFormatting>
  <conditionalFormatting sqref="I30">
    <cfRule type="containsText" dxfId="54" priority="36" operator="containsText" text="Impayée">
      <formula>NOT(ISERROR(SEARCH("Impayée",I30)))</formula>
    </cfRule>
  </conditionalFormatting>
  <conditionalFormatting sqref="I31">
    <cfRule type="containsText" dxfId="53" priority="35" operator="containsText" text="Impayée">
      <formula>NOT(ISERROR(SEARCH("Impayée",I31)))</formula>
    </cfRule>
  </conditionalFormatting>
  <conditionalFormatting sqref="I32">
    <cfRule type="containsText" dxfId="52" priority="34" operator="containsText" text="Impayée">
      <formula>NOT(ISERROR(SEARCH("Impayée",I32)))</formula>
    </cfRule>
  </conditionalFormatting>
  <conditionalFormatting sqref="I33">
    <cfRule type="containsText" dxfId="51" priority="33" operator="containsText" text="Impayée">
      <formula>NOT(ISERROR(SEARCH("Impayée",I33)))</formula>
    </cfRule>
  </conditionalFormatting>
  <conditionalFormatting sqref="I34">
    <cfRule type="containsText" dxfId="50" priority="32" operator="containsText" text="Impayée">
      <formula>NOT(ISERROR(SEARCH("Impayée",I34)))</formula>
    </cfRule>
  </conditionalFormatting>
  <conditionalFormatting sqref="I35">
    <cfRule type="containsText" dxfId="49" priority="31" operator="containsText" text="Impayée">
      <formula>NOT(ISERROR(SEARCH("Impayée",I35)))</formula>
    </cfRule>
  </conditionalFormatting>
  <conditionalFormatting sqref="I36">
    <cfRule type="containsText" dxfId="48" priority="30" operator="containsText" text="Impayée">
      <formula>NOT(ISERROR(SEARCH("Impayée",I36)))</formula>
    </cfRule>
  </conditionalFormatting>
  <conditionalFormatting sqref="I37">
    <cfRule type="containsText" dxfId="47" priority="29" operator="containsText" text="Impayée">
      <formula>NOT(ISERROR(SEARCH("Impayée",I37)))</formula>
    </cfRule>
  </conditionalFormatting>
  <conditionalFormatting sqref="I38">
    <cfRule type="containsText" dxfId="46" priority="28" operator="containsText" text="Impayée">
      <formula>NOT(ISERROR(SEARCH("Impayée",I38)))</formula>
    </cfRule>
  </conditionalFormatting>
  <conditionalFormatting sqref="I39">
    <cfRule type="containsText" dxfId="45" priority="27" operator="containsText" text="Impayée">
      <formula>NOT(ISERROR(SEARCH("Impayée",I39)))</formula>
    </cfRule>
  </conditionalFormatting>
  <conditionalFormatting sqref="I40">
    <cfRule type="containsText" dxfId="44" priority="26" operator="containsText" text="Impayée">
      <formula>NOT(ISERROR(SEARCH("Impayée",I40)))</formula>
    </cfRule>
  </conditionalFormatting>
  <conditionalFormatting sqref="I41">
    <cfRule type="containsText" dxfId="43" priority="25" operator="containsText" text="Impayée">
      <formula>NOT(ISERROR(SEARCH("Impayée",I41)))</formula>
    </cfRule>
  </conditionalFormatting>
  <conditionalFormatting sqref="I42">
    <cfRule type="containsText" dxfId="42" priority="24" operator="containsText" text="Impayée">
      <formula>NOT(ISERROR(SEARCH("Impayée",I42)))</formula>
    </cfRule>
  </conditionalFormatting>
  <conditionalFormatting sqref="I43">
    <cfRule type="containsText" dxfId="41" priority="23" operator="containsText" text="Impayée">
      <formula>NOT(ISERROR(SEARCH("Impayée",I43)))</formula>
    </cfRule>
  </conditionalFormatting>
  <conditionalFormatting sqref="I44">
    <cfRule type="containsText" dxfId="40" priority="22" operator="containsText" text="Impayée">
      <formula>NOT(ISERROR(SEARCH("Impayée",I44)))</formula>
    </cfRule>
  </conditionalFormatting>
  <conditionalFormatting sqref="I45">
    <cfRule type="containsText" dxfId="39" priority="21" operator="containsText" text="Impayée">
      <formula>NOT(ISERROR(SEARCH("Impayée",I45)))</formula>
    </cfRule>
  </conditionalFormatting>
  <conditionalFormatting sqref="I46">
    <cfRule type="containsText" dxfId="38" priority="20" operator="containsText" text="Impayée">
      <formula>NOT(ISERROR(SEARCH("Impayée",I46)))</formula>
    </cfRule>
  </conditionalFormatting>
  <conditionalFormatting sqref="I47">
    <cfRule type="containsText" dxfId="37" priority="19" operator="containsText" text="Impayée">
      <formula>NOT(ISERROR(SEARCH("Impayée",I47)))</formula>
    </cfRule>
  </conditionalFormatting>
  <conditionalFormatting sqref="I48">
    <cfRule type="containsText" dxfId="36" priority="18" operator="containsText" text="Impayée">
      <formula>NOT(ISERROR(SEARCH("Impayée",I48)))</formula>
    </cfRule>
  </conditionalFormatting>
  <conditionalFormatting sqref="I49">
    <cfRule type="containsText" dxfId="35" priority="17" operator="containsText" text="Impayée">
      <formula>NOT(ISERROR(SEARCH("Impayée",I49)))</formula>
    </cfRule>
  </conditionalFormatting>
  <conditionalFormatting sqref="I50">
    <cfRule type="containsText" dxfId="34" priority="16" operator="containsText" text="Impayée">
      <formula>NOT(ISERROR(SEARCH("Impayée",I50)))</formula>
    </cfRule>
  </conditionalFormatting>
  <conditionalFormatting sqref="I51">
    <cfRule type="containsText" dxfId="33" priority="15" operator="containsText" text="Impayée">
      <formula>NOT(ISERROR(SEARCH("Impayée",I51)))</formula>
    </cfRule>
  </conditionalFormatting>
  <conditionalFormatting sqref="I52">
    <cfRule type="containsText" dxfId="32" priority="14" operator="containsText" text="Impayée">
      <formula>NOT(ISERROR(SEARCH("Impayée",I52)))</formula>
    </cfRule>
  </conditionalFormatting>
  <conditionalFormatting sqref="I53">
    <cfRule type="containsText" dxfId="31" priority="13" operator="containsText" text="Impayée">
      <formula>NOT(ISERROR(SEARCH("Impayée",I53)))</formula>
    </cfRule>
  </conditionalFormatting>
  <conditionalFormatting sqref="I54">
    <cfRule type="containsText" dxfId="30" priority="12" operator="containsText" text="Impayée">
      <formula>NOT(ISERROR(SEARCH("Impayée",I54)))</formula>
    </cfRule>
  </conditionalFormatting>
  <conditionalFormatting sqref="I55">
    <cfRule type="containsText" dxfId="29" priority="11" operator="containsText" text="Impayée">
      <formula>NOT(ISERROR(SEARCH("Impayée",I55)))</formula>
    </cfRule>
  </conditionalFormatting>
  <conditionalFormatting sqref="I56">
    <cfRule type="containsText" dxfId="28" priority="10" operator="containsText" text="Impayée">
      <formula>NOT(ISERROR(SEARCH("Impayée",I56)))</formula>
    </cfRule>
  </conditionalFormatting>
  <conditionalFormatting sqref="I57">
    <cfRule type="containsText" dxfId="27" priority="9" operator="containsText" text="Impayée">
      <formula>NOT(ISERROR(SEARCH("Impayée",I57)))</formula>
    </cfRule>
  </conditionalFormatting>
  <conditionalFormatting sqref="I58">
    <cfRule type="containsText" dxfId="26" priority="8" operator="containsText" text="Impayée">
      <formula>NOT(ISERROR(SEARCH("Impayée",I58)))</formula>
    </cfRule>
  </conditionalFormatting>
  <conditionalFormatting sqref="I59">
    <cfRule type="containsText" dxfId="25" priority="7" operator="containsText" text="Impayée">
      <formula>NOT(ISERROR(SEARCH("Impayée",I59)))</formula>
    </cfRule>
  </conditionalFormatting>
  <conditionalFormatting sqref="I60">
    <cfRule type="containsText" dxfId="24" priority="6" operator="containsText" text="Impayée">
      <formula>NOT(ISERROR(SEARCH("Impayée",I60)))</formula>
    </cfRule>
  </conditionalFormatting>
  <conditionalFormatting sqref="I61">
    <cfRule type="containsText" dxfId="23" priority="5" operator="containsText" text="Impayée">
      <formula>NOT(ISERROR(SEARCH("Impayée",I61)))</formula>
    </cfRule>
  </conditionalFormatting>
  <conditionalFormatting sqref="I62">
    <cfRule type="containsText" dxfId="22" priority="4" operator="containsText" text="Impayée">
      <formula>NOT(ISERROR(SEARCH("Impayée",I62)))</formula>
    </cfRule>
  </conditionalFormatting>
  <conditionalFormatting sqref="I63:I72">
    <cfRule type="containsText" dxfId="21" priority="3" operator="containsText" text="Impayée">
      <formula>NOT(ISERROR(SEARCH("Impayée",I63)))</formula>
    </cfRule>
  </conditionalFormatting>
  <conditionalFormatting sqref="I73:I82">
    <cfRule type="containsText" dxfId="20" priority="2" operator="containsText" text="Impayée">
      <formula>NOT(ISERROR(SEARCH("Impayée",I73)))</formula>
    </cfRule>
  </conditionalFormatting>
  <conditionalFormatting sqref="I83:I84">
    <cfRule type="containsText" dxfId="19" priority="1" operator="containsText" text="Impayée">
      <formula>NOT(ISERROR(SEARCH("Impayée",I83)))</formula>
    </cfRule>
  </conditionalFormatting>
  <dataValidations count="3">
    <dataValidation type="list" allowBlank="1" showInputMessage="1" showErrorMessage="1" sqref="I10:I84" xr:uid="{C4B9B939-4773-4F43-9770-25E4C9A08562}">
      <formula1>"Payée,Impayée"</formula1>
    </dataValidation>
    <dataValidation type="list" allowBlank="1" showInputMessage="1" showErrorMessage="1" sqref="J12:J25" xr:uid="{CE0DAD6F-A828-4450-8CCC-476A1A322BE4}">
      <formula1>"Chèque,Espèce,Carte Bancaire"</formula1>
    </dataValidation>
    <dataValidation type="list" allowBlank="1" showInputMessage="1" showErrorMessage="1" sqref="J26:J84" xr:uid="{975D5397-8B1F-4358-8263-F6E1B34142BC}">
      <formula1>"Chèque,Espèce,Carte bancaire"</formula1>
    </dataValidation>
  </dataValidations>
  <hyperlinks>
    <hyperlink ref="K25" r:id="rId1" xr:uid="{C23825F9-EE70-4995-934E-D34DC2D33C66}"/>
    <hyperlink ref="K24" r:id="rId2" xr:uid="{23D882D1-4E29-46CD-8C17-03506D1B5879}"/>
    <hyperlink ref="K23" r:id="rId3" xr:uid="{BAA2C363-BF8F-4E94-8723-7A936AEDEEBC}"/>
    <hyperlink ref="K22" r:id="rId4" xr:uid="{E6DB81FD-2ACB-42B9-8813-A5BB5781AF26}"/>
    <hyperlink ref="K21" r:id="rId5" xr:uid="{92D35802-22DA-4F1D-8FAA-AEF7D5BC58A3}"/>
    <hyperlink ref="K20" r:id="rId6" xr:uid="{95B520F7-92EA-4BFC-A315-F3C217D481DB}"/>
    <hyperlink ref="K19" r:id="rId7" xr:uid="{0AD59EA9-D95E-4010-9A91-054C17BAF2A2}"/>
    <hyperlink ref="K18" r:id="rId8" xr:uid="{D4ADCC1F-22F0-43BD-9E3C-7FC80472EC97}"/>
    <hyperlink ref="K17" r:id="rId9" xr:uid="{8D7C7A20-D736-4556-B4B6-17A70F381E33}"/>
    <hyperlink ref="K16" r:id="rId10" xr:uid="{FC05C9EF-6601-402D-9E19-AAE2EF660FF8}"/>
    <hyperlink ref="K26" r:id="rId11" xr:uid="{07BDD8B2-525E-4157-ACF3-BAE4B4EECF9B}"/>
    <hyperlink ref="K27" r:id="rId12" xr:uid="{B8C8597C-0B86-4014-BB10-C6B3DC7FB63E}"/>
    <hyperlink ref="K28" r:id="rId13" xr:uid="{3F8F8AA5-1E95-405A-9C2C-12601FD41594}"/>
    <hyperlink ref="K29" r:id="rId14" xr:uid="{578BA80F-9E56-43F7-B5DD-36E1E3E4F15B}"/>
    <hyperlink ref="K30" r:id="rId15" xr:uid="{1200DA4B-3CD0-4F00-B3A3-C2306D386FF6}"/>
    <hyperlink ref="K31" r:id="rId16" xr:uid="{2E580AA4-84C4-4647-BF09-26A02F44D424}"/>
    <hyperlink ref="K32" r:id="rId17" xr:uid="{5AB936B4-1C94-458C-AE76-9293688EBD04}"/>
    <hyperlink ref="K33" r:id="rId18" xr:uid="{3EA5E9D4-0CAF-4F49-AD54-B83C93823587}"/>
    <hyperlink ref="K34" r:id="rId19" xr:uid="{B8FCB6B1-9A19-40AB-9773-F37D370F01C0}"/>
    <hyperlink ref="K35" r:id="rId20" xr:uid="{E86335F5-006E-43EA-A00A-B61F70EBC3BB}"/>
    <hyperlink ref="K36" r:id="rId21" xr:uid="{9422B155-9BB6-43AA-859C-5FF86EF51110}"/>
    <hyperlink ref="K37" r:id="rId22" xr:uid="{34554FDC-2FDF-4EBC-B260-2FF8C9A1877E}"/>
    <hyperlink ref="K38" r:id="rId23" xr:uid="{302F80FE-8A23-4B34-8CB5-04909FEA3EFD}"/>
    <hyperlink ref="K39" r:id="rId24" xr:uid="{2F0B041A-9E47-4CB5-A233-5036526A00B3}"/>
    <hyperlink ref="K40" r:id="rId25" xr:uid="{53DBD788-693E-433B-8B88-325214155F71}"/>
    <hyperlink ref="K41" r:id="rId26" xr:uid="{073880ED-E130-47D8-991F-2BE914546131}"/>
    <hyperlink ref="K42" r:id="rId27" xr:uid="{4D81418B-FBBC-4066-BCC7-5D12DCB894A6}"/>
    <hyperlink ref="K43" r:id="rId28" xr:uid="{76E0F394-2B60-4DE6-8750-F3A67CCD1AC5}"/>
    <hyperlink ref="K44" r:id="rId29" xr:uid="{90E33732-B9C1-4571-8C5B-D48EB084B0F0}"/>
    <hyperlink ref="K45" r:id="rId30" xr:uid="{B0644783-4120-4EAD-AA6F-E1E708FF32EF}"/>
    <hyperlink ref="K46" r:id="rId31" xr:uid="{75BB4690-CEA1-40F8-89FC-B9C8C7989ABF}"/>
    <hyperlink ref="K47" r:id="rId32" xr:uid="{E40D7E69-E861-49A6-B430-B677EB995DFC}"/>
    <hyperlink ref="K48" r:id="rId33" xr:uid="{A27FF7BF-A6A1-4DE8-8CEB-2044F09E272F}"/>
    <hyperlink ref="K49" r:id="rId34" xr:uid="{8803918C-D75B-4A62-81FE-AE18D5BE07C5}"/>
    <hyperlink ref="K50" r:id="rId35" xr:uid="{071B4993-AE31-41B2-BDC1-759CB2801BD0}"/>
    <hyperlink ref="K51" r:id="rId36" xr:uid="{6F9BB485-35DC-45E5-B351-F8EB5528DC74}"/>
    <hyperlink ref="K52" r:id="rId37" xr:uid="{604858FF-ABFA-4CF1-AF4A-4BA6C164A163}"/>
    <hyperlink ref="K53" r:id="rId38" xr:uid="{75B8AD8E-3003-48B0-A819-9BE8207932C5}"/>
    <hyperlink ref="K54" r:id="rId39" xr:uid="{947C0945-82C5-41EA-946A-B3EA960C5243}"/>
    <hyperlink ref="K55" r:id="rId40" xr:uid="{3ED84B7B-DCC5-4C24-B26E-DEA8AF821E52}"/>
    <hyperlink ref="K56" r:id="rId41" xr:uid="{092C965A-F7E0-4271-B6F8-A46661FFE092}"/>
    <hyperlink ref="K57" r:id="rId42" xr:uid="{B2130982-A6CC-43D1-B920-2CA0525F9206}"/>
    <hyperlink ref="K58" r:id="rId43" xr:uid="{EC3DB41F-5903-4E9A-A7DB-BF4509293A91}"/>
    <hyperlink ref="K59" r:id="rId44" xr:uid="{CF4CB5BC-456C-4AD7-AB9E-0B46BA78A9A6}"/>
    <hyperlink ref="K60" r:id="rId45" xr:uid="{32B3337A-60CC-40D7-819C-6F8DFF1A8288}"/>
    <hyperlink ref="K61" r:id="rId46" xr:uid="{00F72448-65F2-424D-BD84-DCE2EDD6623A}"/>
    <hyperlink ref="K62" r:id="rId47" xr:uid="{CD9FE0D7-3A5C-438E-B2FB-794E2391BABB}"/>
    <hyperlink ref="K72" r:id="rId48" xr:uid="{D6122AE3-4CFF-46B4-8AB4-FC173B04AFCF}"/>
    <hyperlink ref="K71" r:id="rId49" xr:uid="{EFA2BB30-6F4F-4383-B576-477F3A1741CC}"/>
    <hyperlink ref="K70" r:id="rId50" xr:uid="{1B60EF9F-46C3-436B-A63D-93E0C387B72E}"/>
    <hyperlink ref="K69" r:id="rId51" xr:uid="{D5C3235F-BBF6-4972-A473-1A7F11C380B1}"/>
    <hyperlink ref="K68" r:id="rId52" xr:uid="{A3372D30-64F3-4A93-8AB5-3295B1FBCAE1}"/>
    <hyperlink ref="K67" r:id="rId53" xr:uid="{BB01DF5D-3FF6-4AC0-9102-6FC75B755727}"/>
    <hyperlink ref="K66" r:id="rId54" xr:uid="{71B74AB9-FDE6-4042-9DD1-C7CB2977F275}"/>
    <hyperlink ref="K65" r:id="rId55" xr:uid="{7BD7D613-1A4F-432A-8EBD-F7240AF90723}"/>
    <hyperlink ref="K64" r:id="rId56" xr:uid="{44B63A18-4A99-4F3B-8539-BD4E18CAE93E}"/>
    <hyperlink ref="K63" r:id="rId57" xr:uid="{A08AB90D-9911-4487-8B42-9681BCFF7EB1}"/>
    <hyperlink ref="K82" r:id="rId58" xr:uid="{98DFDC8F-3CCB-4F65-97C9-DCF3B566E701}"/>
    <hyperlink ref="K81" r:id="rId59" xr:uid="{88246463-6902-4D8D-974E-08A60E7B2B97}"/>
    <hyperlink ref="K80" r:id="rId60" xr:uid="{6812DA88-A1C1-4E7A-AE1D-6114A20C14E2}"/>
    <hyperlink ref="K79" r:id="rId61" xr:uid="{CAB1574D-A6E7-4D2F-846C-10A5D428030E}"/>
    <hyperlink ref="K78" r:id="rId62" xr:uid="{04041D14-E77D-4C39-A035-663016476EE8}"/>
    <hyperlink ref="K77" r:id="rId63" xr:uid="{AEE02C32-127A-476C-A435-CFC183A292F8}"/>
    <hyperlink ref="K76" r:id="rId64" xr:uid="{BC76FD52-01BF-4C31-B9F1-ABCF74B0A18E}"/>
    <hyperlink ref="K75" r:id="rId65" xr:uid="{A2F8FF74-C383-46D2-9C3D-0F9459DC6E71}"/>
    <hyperlink ref="K74" r:id="rId66" xr:uid="{AF064FBA-F94D-4159-8923-DCCD863DC43A}"/>
    <hyperlink ref="K73" r:id="rId67" xr:uid="{332E1895-1E95-4229-96FC-3BAE2D2DCC0B}"/>
    <hyperlink ref="K84" r:id="rId68" xr:uid="{B5FC43C0-1212-4ACE-BE35-2C7476C7E787}"/>
    <hyperlink ref="K83" r:id="rId69" xr:uid="{F60091A6-2022-431E-855D-3C4149A441EF}"/>
    <hyperlink ref="K15" r:id="rId70" xr:uid="{59912C58-A0E0-4571-B130-DA935E54F61C}"/>
    <hyperlink ref="K14" r:id="rId71" xr:uid="{6D56D036-01FE-4C82-A851-C87222505B41}"/>
    <hyperlink ref="K13" r:id="rId72" xr:uid="{611EFFF3-4C29-4E8F-A446-500FD50F4569}"/>
    <hyperlink ref="K12" r:id="rId73" xr:uid="{61D39333-8393-47DB-8983-4E2BFCD06876}"/>
    <hyperlink ref="K11" r:id="rId74" xr:uid="{57325BAC-73C0-48E5-BCF1-693517FF8980}"/>
    <hyperlink ref="K10" r:id="rId75" xr:uid="{A37D2FC0-4C38-4DED-AED1-722E7C6FB36B}"/>
  </hyperlinks>
  <pageMargins left="0.7" right="0.7" top="0.75" bottom="0.75" header="0.3" footer="0.3"/>
  <pageSetup paperSize="9" orientation="portrait" r:id="rId76"/>
  <drawing r:id="rId77"/>
  <tableParts count="1">
    <tablePart r:id="rId7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DB24D-C62F-4DB9-A71D-422B090ED07D}">
  <sheetPr codeName="Feuil3"/>
  <dimension ref="A1:AB71"/>
  <sheetViews>
    <sheetView workbookViewId="0">
      <selection activeCell="K9" sqref="K9:L9"/>
    </sheetView>
  </sheetViews>
  <sheetFormatPr baseColWidth="10" defaultColWidth="8.88671875" defaultRowHeight="14.4"/>
  <cols>
    <col min="1" max="2" width="8.88671875" style="1"/>
    <col min="3" max="3" width="4.77734375" style="1" customWidth="1"/>
    <col min="4" max="4" width="25.109375" style="1" customWidth="1"/>
    <col min="5" max="5" width="18.109375" style="1" customWidth="1"/>
    <col min="6" max="6" width="19.44140625" style="1" customWidth="1"/>
    <col min="7" max="7" width="4.77734375" style="1" customWidth="1"/>
    <col min="8" max="8" width="7" style="1" customWidth="1"/>
    <col min="9" max="9" width="4.77734375" style="1" customWidth="1"/>
    <col min="10" max="10" width="26.5546875" style="1" customWidth="1"/>
    <col min="11" max="11" width="35.6640625" style="1" customWidth="1"/>
    <col min="12" max="12" width="30.5546875" style="1" customWidth="1"/>
    <col min="13" max="13" width="4.77734375" style="1" customWidth="1"/>
    <col min="14" max="16384" width="8.88671875" style="1"/>
  </cols>
  <sheetData>
    <row r="1" spans="1:28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</row>
    <row r="2" spans="1:28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1:28" ht="10.8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6" spans="1:28" ht="19.05" customHeight="1">
      <c r="C6" s="2"/>
      <c r="D6" s="78" t="s">
        <v>21</v>
      </c>
      <c r="E6" s="78"/>
      <c r="F6" s="2"/>
      <c r="G6" s="2"/>
      <c r="I6" s="2"/>
      <c r="J6" s="78" t="s">
        <v>22</v>
      </c>
      <c r="K6" s="78"/>
      <c r="L6" s="2"/>
      <c r="M6" s="2"/>
    </row>
    <row r="7" spans="1:28">
      <c r="C7" s="2"/>
      <c r="D7" s="80" t="s">
        <v>7</v>
      </c>
      <c r="E7" s="80"/>
      <c r="F7" s="80"/>
      <c r="G7" s="2"/>
      <c r="I7" s="2"/>
      <c r="J7" s="79" t="s">
        <v>5</v>
      </c>
      <c r="K7" s="79"/>
      <c r="L7" s="79"/>
      <c r="M7" s="2"/>
    </row>
    <row r="8" spans="1:28" ht="15" thickBot="1">
      <c r="C8" s="2"/>
      <c r="D8" s="2"/>
      <c r="E8" s="2"/>
      <c r="F8" s="2"/>
      <c r="G8" s="2"/>
      <c r="I8" s="2"/>
      <c r="J8" s="2"/>
      <c r="K8" s="2"/>
      <c r="L8" s="2"/>
      <c r="M8" s="2"/>
    </row>
    <row r="9" spans="1:28" ht="16.05" customHeight="1" thickBot="1">
      <c r="C9" s="2"/>
      <c r="D9" s="9" t="s">
        <v>13</v>
      </c>
      <c r="E9" s="81" t="s">
        <v>126</v>
      </c>
      <c r="F9" s="81"/>
      <c r="G9" s="2"/>
      <c r="I9" s="2"/>
      <c r="J9" s="9" t="s">
        <v>14</v>
      </c>
      <c r="K9" s="81" t="s">
        <v>113</v>
      </c>
      <c r="L9" s="81"/>
      <c r="M9" s="2"/>
    </row>
    <row r="10" spans="1:28" ht="16.05" customHeight="1" thickBot="1">
      <c r="C10" s="2"/>
      <c r="D10" s="9" t="s">
        <v>12</v>
      </c>
      <c r="E10" s="81" t="s">
        <v>111</v>
      </c>
      <c r="F10" s="81"/>
      <c r="G10" s="2"/>
      <c r="I10" s="2"/>
      <c r="J10" s="9" t="s">
        <v>15</v>
      </c>
      <c r="K10" s="81" t="s">
        <v>114</v>
      </c>
      <c r="L10" s="81"/>
      <c r="M10" s="2"/>
    </row>
    <row r="11" spans="1:28" ht="16.05" customHeight="1" thickBot="1">
      <c r="C11" s="2"/>
      <c r="D11" s="9" t="s">
        <v>11</v>
      </c>
      <c r="E11" s="81" t="s">
        <v>112</v>
      </c>
      <c r="F11" s="81"/>
      <c r="G11" s="2"/>
      <c r="I11" s="2"/>
      <c r="J11" s="9" t="s">
        <v>16</v>
      </c>
      <c r="K11" s="81" t="s">
        <v>115</v>
      </c>
      <c r="L11" s="81"/>
      <c r="M11" s="2"/>
    </row>
    <row r="12" spans="1:28" ht="16.05" customHeight="1" thickBot="1">
      <c r="C12" s="2"/>
      <c r="D12" s="9" t="s">
        <v>10</v>
      </c>
      <c r="E12" s="82" t="s">
        <v>127</v>
      </c>
      <c r="F12" s="81"/>
      <c r="G12" s="2"/>
      <c r="I12" s="2"/>
      <c r="J12" s="9" t="s">
        <v>17</v>
      </c>
      <c r="K12" s="81" t="s">
        <v>116</v>
      </c>
      <c r="L12" s="81"/>
      <c r="M12" s="2"/>
    </row>
    <row r="13" spans="1:28" ht="16.05" customHeight="1" thickBot="1">
      <c r="C13" s="2"/>
      <c r="D13" s="9" t="s">
        <v>9</v>
      </c>
      <c r="E13" s="82" t="s">
        <v>128</v>
      </c>
      <c r="F13" s="81"/>
      <c r="G13" s="2"/>
      <c r="I13" s="2"/>
      <c r="J13" s="2"/>
      <c r="K13" s="2"/>
      <c r="L13" s="2"/>
      <c r="M13" s="2"/>
    </row>
    <row r="14" spans="1:28">
      <c r="C14" s="2"/>
      <c r="D14" s="2"/>
      <c r="E14" s="2"/>
      <c r="F14" s="2"/>
      <c r="G14" s="2"/>
      <c r="I14" s="2"/>
      <c r="J14" s="2"/>
      <c r="K14" s="2"/>
      <c r="L14" s="2"/>
      <c r="M14" s="2"/>
    </row>
    <row r="17" spans="3:13" ht="19.05" customHeight="1">
      <c r="C17" s="2"/>
      <c r="D17" s="78" t="s">
        <v>23</v>
      </c>
      <c r="E17" s="78"/>
      <c r="F17" s="2"/>
      <c r="G17" s="2"/>
      <c r="I17" s="2"/>
      <c r="J17" s="78" t="s">
        <v>24</v>
      </c>
      <c r="K17" s="78"/>
      <c r="L17" s="2"/>
      <c r="M17" s="2"/>
    </row>
    <row r="18" spans="3:13">
      <c r="C18" s="2"/>
      <c r="D18" s="79" t="s">
        <v>6</v>
      </c>
      <c r="E18" s="79"/>
      <c r="F18" s="79"/>
      <c r="G18" s="2"/>
      <c r="I18" s="2"/>
      <c r="J18" s="79" t="s">
        <v>8</v>
      </c>
      <c r="K18" s="79"/>
      <c r="L18" s="79"/>
      <c r="M18" s="2"/>
    </row>
    <row r="19" spans="3:13">
      <c r="C19" s="2"/>
      <c r="D19" s="2"/>
      <c r="E19" s="2"/>
      <c r="F19" s="2"/>
      <c r="G19" s="2"/>
      <c r="I19" s="2"/>
      <c r="J19" s="2"/>
      <c r="K19" s="2"/>
      <c r="L19" s="2"/>
      <c r="M19" s="2"/>
    </row>
    <row r="20" spans="3:13" ht="19.05" customHeight="1">
      <c r="C20" s="2"/>
      <c r="D20" s="4" t="s">
        <v>2</v>
      </c>
      <c r="E20" s="4" t="s">
        <v>3</v>
      </c>
      <c r="F20" s="4" t="s">
        <v>1</v>
      </c>
      <c r="G20" s="2"/>
      <c r="I20" s="2"/>
      <c r="J20" s="4" t="s">
        <v>18</v>
      </c>
      <c r="K20" s="4" t="s">
        <v>19</v>
      </c>
      <c r="L20" s="4" t="s">
        <v>20</v>
      </c>
      <c r="M20" s="2"/>
    </row>
    <row r="21" spans="3:13" ht="19.05" customHeight="1">
      <c r="C21" s="2"/>
      <c r="D21" s="7" t="s">
        <v>25</v>
      </c>
      <c r="E21" s="5" t="s">
        <v>26</v>
      </c>
      <c r="F21" s="6">
        <v>1119</v>
      </c>
      <c r="G21" s="2"/>
      <c r="I21" s="2"/>
      <c r="J21" s="10" t="s">
        <v>0</v>
      </c>
      <c r="K21" s="11" t="s">
        <v>103</v>
      </c>
      <c r="L21" s="7" t="s">
        <v>104</v>
      </c>
      <c r="M21" s="2"/>
    </row>
    <row r="22" spans="3:13" ht="19.05" customHeight="1">
      <c r="C22" s="2"/>
      <c r="D22" s="7" t="s">
        <v>27</v>
      </c>
      <c r="E22" s="5" t="s">
        <v>28</v>
      </c>
      <c r="F22" s="8">
        <v>899</v>
      </c>
      <c r="G22" s="2"/>
      <c r="I22" s="2"/>
      <c r="J22" s="10" t="s">
        <v>64</v>
      </c>
      <c r="K22" s="11" t="s">
        <v>85</v>
      </c>
      <c r="L22" s="7" t="s">
        <v>86</v>
      </c>
      <c r="M22" s="2"/>
    </row>
    <row r="23" spans="3:13" ht="19.05" customHeight="1">
      <c r="C23" s="2"/>
      <c r="D23" s="7" t="s">
        <v>30</v>
      </c>
      <c r="E23" s="5" t="s">
        <v>29</v>
      </c>
      <c r="F23" s="8">
        <v>789</v>
      </c>
      <c r="G23" s="2"/>
      <c r="I23" s="2"/>
      <c r="J23" s="10" t="s">
        <v>63</v>
      </c>
      <c r="K23" s="11" t="s">
        <v>88</v>
      </c>
      <c r="L23" s="7" t="s">
        <v>89</v>
      </c>
      <c r="M23" s="2"/>
    </row>
    <row r="24" spans="3:13" ht="19.05" customHeight="1">
      <c r="C24" s="2"/>
      <c r="D24" s="7" t="s">
        <v>31</v>
      </c>
      <c r="E24" s="5" t="s">
        <v>34</v>
      </c>
      <c r="F24" s="8">
        <v>999</v>
      </c>
      <c r="G24" s="2"/>
      <c r="I24" s="2"/>
      <c r="J24" s="10" t="s">
        <v>65</v>
      </c>
      <c r="K24" s="11" t="s">
        <v>90</v>
      </c>
      <c r="L24" s="7" t="s">
        <v>91</v>
      </c>
      <c r="M24" s="2"/>
    </row>
    <row r="25" spans="3:13" ht="19.05" customHeight="1">
      <c r="C25" s="2"/>
      <c r="D25" s="7" t="s">
        <v>32</v>
      </c>
      <c r="E25" s="5" t="s">
        <v>35</v>
      </c>
      <c r="F25" s="8">
        <v>1449</v>
      </c>
      <c r="G25" s="2"/>
      <c r="I25" s="2"/>
      <c r="J25" s="10" t="s">
        <v>66</v>
      </c>
      <c r="K25" s="11" t="s">
        <v>92</v>
      </c>
      <c r="L25" s="7" t="s">
        <v>93</v>
      </c>
      <c r="M25" s="2"/>
    </row>
    <row r="26" spans="3:13" ht="19.05" customHeight="1">
      <c r="C26" s="2"/>
      <c r="D26" s="7" t="s">
        <v>33</v>
      </c>
      <c r="E26" s="5" t="s">
        <v>36</v>
      </c>
      <c r="F26" s="8">
        <v>1479</v>
      </c>
      <c r="G26" s="2"/>
      <c r="I26" s="2"/>
      <c r="J26" s="10" t="s">
        <v>67</v>
      </c>
      <c r="K26" s="7" t="s">
        <v>94</v>
      </c>
      <c r="L26" s="7" t="s">
        <v>95</v>
      </c>
      <c r="M26" s="2"/>
    </row>
    <row r="27" spans="3:13" ht="19.05" customHeight="1">
      <c r="C27" s="2"/>
      <c r="D27" s="7" t="s">
        <v>37</v>
      </c>
      <c r="E27" s="5" t="s">
        <v>41</v>
      </c>
      <c r="F27" s="8">
        <v>269</v>
      </c>
      <c r="G27" s="2"/>
      <c r="I27" s="2"/>
      <c r="J27" s="10" t="s">
        <v>68</v>
      </c>
      <c r="K27" s="11" t="s">
        <v>102</v>
      </c>
      <c r="L27" s="7" t="s">
        <v>96</v>
      </c>
      <c r="M27" s="2"/>
    </row>
    <row r="28" spans="3:13" ht="19.05" customHeight="1">
      <c r="C28" s="2"/>
      <c r="D28" s="7" t="s">
        <v>38</v>
      </c>
      <c r="E28" s="5" t="s">
        <v>42</v>
      </c>
      <c r="F28" s="8">
        <v>948</v>
      </c>
      <c r="G28" s="2"/>
      <c r="I28" s="2"/>
      <c r="J28" s="10" t="s">
        <v>69</v>
      </c>
      <c r="K28" s="11" t="s">
        <v>97</v>
      </c>
      <c r="L28" s="7" t="s">
        <v>98</v>
      </c>
      <c r="M28" s="2"/>
    </row>
    <row r="29" spans="3:13" ht="19.05" customHeight="1">
      <c r="C29" s="2"/>
      <c r="D29" s="7" t="s">
        <v>39</v>
      </c>
      <c r="E29" s="5" t="s">
        <v>43</v>
      </c>
      <c r="F29" s="8">
        <v>349</v>
      </c>
      <c r="G29" s="2"/>
      <c r="I29" s="2"/>
      <c r="J29" s="10" t="s">
        <v>70</v>
      </c>
      <c r="K29" s="11" t="s">
        <v>99</v>
      </c>
      <c r="L29" s="7" t="s">
        <v>100</v>
      </c>
      <c r="M29" s="2"/>
    </row>
    <row r="30" spans="3:13" ht="19.05" customHeight="1">
      <c r="C30" s="2"/>
      <c r="D30" s="7" t="s">
        <v>40</v>
      </c>
      <c r="E30" s="5" t="s">
        <v>44</v>
      </c>
      <c r="F30" s="8">
        <v>679</v>
      </c>
      <c r="G30" s="2"/>
      <c r="I30" s="2"/>
      <c r="J30" s="10" t="s">
        <v>71</v>
      </c>
      <c r="K30" s="11" t="s">
        <v>101</v>
      </c>
      <c r="L30" s="7" t="s">
        <v>96</v>
      </c>
      <c r="M30" s="2"/>
    </row>
    <row r="31" spans="3:13" ht="19.05" customHeight="1">
      <c r="C31" s="2"/>
      <c r="D31" s="7" t="s">
        <v>108</v>
      </c>
      <c r="E31" s="5" t="s">
        <v>45</v>
      </c>
      <c r="F31" s="8">
        <v>599</v>
      </c>
      <c r="G31" s="2"/>
      <c r="I31" s="2"/>
      <c r="J31" s="10" t="s">
        <v>72</v>
      </c>
      <c r="K31" s="7" t="s">
        <v>4</v>
      </c>
      <c r="L31" s="7" t="s">
        <v>87</v>
      </c>
      <c r="M31" s="2"/>
    </row>
    <row r="32" spans="3:13" ht="19.05" customHeight="1">
      <c r="C32" s="2"/>
      <c r="D32" s="7" t="s">
        <v>46</v>
      </c>
      <c r="E32" s="5" t="s">
        <v>50</v>
      </c>
      <c r="F32" s="8">
        <v>1169</v>
      </c>
      <c r="G32" s="2"/>
      <c r="I32" s="2"/>
      <c r="J32" s="10" t="s">
        <v>73</v>
      </c>
      <c r="K32" s="11" t="s">
        <v>85</v>
      </c>
      <c r="L32" s="7" t="s">
        <v>86</v>
      </c>
      <c r="M32" s="2"/>
    </row>
    <row r="33" spans="3:13" ht="19.05" customHeight="1">
      <c r="C33" s="2"/>
      <c r="D33" s="7" t="s">
        <v>47</v>
      </c>
      <c r="E33" s="5" t="s">
        <v>51</v>
      </c>
      <c r="F33" s="8">
        <v>979</v>
      </c>
      <c r="G33" s="2"/>
      <c r="I33" s="2"/>
      <c r="J33" s="10" t="s">
        <v>74</v>
      </c>
      <c r="K33" s="11" t="s">
        <v>88</v>
      </c>
      <c r="L33" s="7" t="s">
        <v>89</v>
      </c>
      <c r="M33" s="2"/>
    </row>
    <row r="34" spans="3:13" ht="19.05" customHeight="1">
      <c r="C34" s="2"/>
      <c r="D34" s="7" t="s">
        <v>48</v>
      </c>
      <c r="E34" s="5" t="s">
        <v>52</v>
      </c>
      <c r="F34" s="8">
        <v>449</v>
      </c>
      <c r="G34" s="2"/>
      <c r="I34" s="2"/>
      <c r="J34" s="10" t="s">
        <v>75</v>
      </c>
      <c r="K34" s="11" t="s">
        <v>90</v>
      </c>
      <c r="L34" s="7" t="s">
        <v>91</v>
      </c>
      <c r="M34" s="2"/>
    </row>
    <row r="35" spans="3:13" ht="19.05" customHeight="1">
      <c r="C35" s="2"/>
      <c r="D35" s="7" t="s">
        <v>49</v>
      </c>
      <c r="E35" s="5" t="s">
        <v>53</v>
      </c>
      <c r="F35" s="8">
        <v>149</v>
      </c>
      <c r="G35" s="2"/>
      <c r="I35" s="2"/>
      <c r="J35" s="10" t="s">
        <v>76</v>
      </c>
      <c r="K35" s="11" t="s">
        <v>92</v>
      </c>
      <c r="L35" s="7" t="s">
        <v>93</v>
      </c>
      <c r="M35" s="2"/>
    </row>
    <row r="36" spans="3:13" ht="19.05" customHeight="1">
      <c r="C36" s="2"/>
      <c r="D36" s="7" t="s">
        <v>107</v>
      </c>
      <c r="E36" s="5" t="s">
        <v>55</v>
      </c>
      <c r="F36" s="8">
        <v>229</v>
      </c>
      <c r="G36" s="2"/>
      <c r="I36" s="2"/>
      <c r="J36" s="10" t="s">
        <v>77</v>
      </c>
      <c r="K36" s="7" t="s">
        <v>94</v>
      </c>
      <c r="L36" s="7" t="s">
        <v>95</v>
      </c>
      <c r="M36" s="2"/>
    </row>
    <row r="37" spans="3:13" ht="19.05" customHeight="1">
      <c r="C37" s="2"/>
      <c r="D37" s="7" t="s">
        <v>54</v>
      </c>
      <c r="E37" s="5" t="s">
        <v>56</v>
      </c>
      <c r="F37" s="8">
        <v>99</v>
      </c>
      <c r="G37" s="2"/>
      <c r="I37" s="2"/>
      <c r="J37" s="10" t="s">
        <v>78</v>
      </c>
      <c r="K37" s="11" t="s">
        <v>102</v>
      </c>
      <c r="L37" s="7" t="s">
        <v>96</v>
      </c>
      <c r="M37" s="2"/>
    </row>
    <row r="38" spans="3:13" ht="19.05" customHeight="1">
      <c r="C38" s="2"/>
      <c r="D38" s="7" t="s">
        <v>57</v>
      </c>
      <c r="E38" s="5" t="s">
        <v>41</v>
      </c>
      <c r="F38" s="8">
        <v>279</v>
      </c>
      <c r="G38" s="2"/>
      <c r="I38" s="2"/>
      <c r="J38" s="10" t="s">
        <v>79</v>
      </c>
      <c r="K38" s="11" t="s">
        <v>97</v>
      </c>
      <c r="L38" s="7" t="s">
        <v>98</v>
      </c>
      <c r="M38" s="2"/>
    </row>
    <row r="39" spans="3:13" ht="19.05" customHeight="1">
      <c r="C39" s="2"/>
      <c r="D39" s="7" t="s">
        <v>105</v>
      </c>
      <c r="E39" s="5" t="s">
        <v>42</v>
      </c>
      <c r="F39" s="8">
        <v>134</v>
      </c>
      <c r="G39" s="2"/>
      <c r="I39" s="2"/>
      <c r="J39" s="10" t="s">
        <v>80</v>
      </c>
      <c r="K39" s="11" t="s">
        <v>99</v>
      </c>
      <c r="L39" s="7" t="s">
        <v>100</v>
      </c>
      <c r="M39" s="2"/>
    </row>
    <row r="40" spans="3:13" ht="19.05" customHeight="1">
      <c r="C40" s="2"/>
      <c r="D40" s="7" t="s">
        <v>58</v>
      </c>
      <c r="E40" s="5" t="s">
        <v>43</v>
      </c>
      <c r="F40" s="8">
        <v>579</v>
      </c>
      <c r="G40" s="2"/>
      <c r="I40" s="2"/>
      <c r="J40" s="10" t="s">
        <v>81</v>
      </c>
      <c r="K40" s="11" t="s">
        <v>101</v>
      </c>
      <c r="L40" s="7" t="s">
        <v>96</v>
      </c>
      <c r="M40" s="2"/>
    </row>
    <row r="41" spans="3:13" ht="19.05" customHeight="1">
      <c r="C41" s="2"/>
      <c r="D41" s="7" t="s">
        <v>110</v>
      </c>
      <c r="E41" s="5" t="s">
        <v>60</v>
      </c>
      <c r="F41" s="8">
        <v>269</v>
      </c>
      <c r="G41" s="2"/>
      <c r="I41" s="2"/>
      <c r="J41" s="10" t="s">
        <v>82</v>
      </c>
      <c r="K41" s="11" t="s">
        <v>97</v>
      </c>
      <c r="L41" s="7" t="s">
        <v>98</v>
      </c>
      <c r="M41" s="2"/>
    </row>
    <row r="42" spans="3:13" ht="19.05" customHeight="1">
      <c r="C42" s="2"/>
      <c r="D42" s="7" t="s">
        <v>59</v>
      </c>
      <c r="E42" s="5" t="s">
        <v>61</v>
      </c>
      <c r="F42" s="8">
        <v>459</v>
      </c>
      <c r="G42" s="2"/>
      <c r="I42" s="2"/>
      <c r="J42" s="10" t="s">
        <v>83</v>
      </c>
      <c r="K42" s="11" t="s">
        <v>99</v>
      </c>
      <c r="L42" s="7" t="s">
        <v>100</v>
      </c>
      <c r="M42" s="2"/>
    </row>
    <row r="43" spans="3:13" ht="19.05" customHeight="1">
      <c r="C43" s="2"/>
      <c r="D43" s="7" t="s">
        <v>106</v>
      </c>
      <c r="E43" s="5" t="s">
        <v>62</v>
      </c>
      <c r="F43" s="8">
        <v>199</v>
      </c>
      <c r="G43" s="2"/>
      <c r="I43" s="2"/>
      <c r="J43" s="10" t="s">
        <v>84</v>
      </c>
      <c r="K43" s="11" t="s">
        <v>101</v>
      </c>
      <c r="L43" s="7" t="s">
        <v>96</v>
      </c>
      <c r="M43" s="2"/>
    </row>
    <row r="44" spans="3:13" ht="19.05" customHeight="1">
      <c r="C44" s="2"/>
      <c r="D44" s="2"/>
      <c r="E44" s="2"/>
      <c r="F44" s="2"/>
      <c r="G44" s="2"/>
      <c r="I44" s="2"/>
      <c r="J44" s="10" t="s">
        <v>109</v>
      </c>
      <c r="K44" s="7" t="s">
        <v>94</v>
      </c>
      <c r="L44" s="7" t="s">
        <v>95</v>
      </c>
      <c r="M44" s="2"/>
    </row>
    <row r="45" spans="3:13" ht="19.05" customHeight="1">
      <c r="C45" s="2"/>
      <c r="D45" s="2"/>
      <c r="E45" s="2"/>
      <c r="F45" s="2"/>
      <c r="G45" s="2"/>
      <c r="I45" s="2"/>
      <c r="J45" s="2"/>
      <c r="K45" s="2"/>
      <c r="L45" s="2"/>
      <c r="M45" s="2"/>
    </row>
    <row r="46" spans="3:13" ht="19.05" customHeight="1">
      <c r="C46" s="2"/>
      <c r="D46" s="2"/>
      <c r="E46" s="2"/>
      <c r="F46" s="2"/>
      <c r="G46" s="2"/>
      <c r="I46" s="2"/>
      <c r="J46" s="2"/>
      <c r="K46" s="2"/>
      <c r="L46" s="2"/>
      <c r="M46" s="2"/>
    </row>
    <row r="47" spans="3:13" ht="19.05" customHeight="1">
      <c r="C47" s="2"/>
      <c r="D47" s="2"/>
      <c r="E47" s="2"/>
      <c r="F47" s="2"/>
      <c r="G47" s="2"/>
      <c r="I47" s="2"/>
      <c r="J47" s="2"/>
      <c r="K47" s="2"/>
      <c r="L47" s="2"/>
      <c r="M47" s="2"/>
    </row>
    <row r="48" spans="3:13" ht="19.05" customHeight="1">
      <c r="C48" s="2"/>
      <c r="D48" s="2"/>
      <c r="E48" s="2"/>
      <c r="F48" s="2"/>
      <c r="G48" s="2"/>
      <c r="I48" s="2"/>
      <c r="J48" s="2"/>
      <c r="K48" s="2"/>
      <c r="L48" s="2"/>
      <c r="M48" s="2"/>
    </row>
    <row r="49" spans="3:13" ht="19.05" customHeight="1">
      <c r="C49" s="2"/>
      <c r="D49" s="2"/>
      <c r="E49" s="2"/>
      <c r="F49" s="2"/>
      <c r="G49" s="2"/>
      <c r="I49" s="2"/>
      <c r="J49" s="2"/>
      <c r="K49" s="2"/>
      <c r="L49" s="2"/>
      <c r="M49" s="2"/>
    </row>
    <row r="50" spans="3:13" ht="19.05" customHeight="1">
      <c r="C50" s="2"/>
      <c r="D50" s="2"/>
      <c r="E50" s="2"/>
      <c r="F50" s="2"/>
      <c r="G50" s="2"/>
      <c r="I50" s="2"/>
      <c r="J50" s="2"/>
      <c r="K50" s="2"/>
      <c r="L50" s="2"/>
      <c r="M50" s="2"/>
    </row>
    <row r="51" spans="3:13" ht="19.05" customHeight="1">
      <c r="C51" s="2"/>
      <c r="D51" s="2"/>
      <c r="E51" s="2"/>
      <c r="F51" s="2"/>
      <c r="G51" s="2"/>
      <c r="I51" s="2"/>
      <c r="J51" s="2"/>
      <c r="K51" s="2"/>
      <c r="L51" s="2"/>
      <c r="M51" s="2"/>
    </row>
    <row r="52" spans="3:13" ht="19.05" customHeight="1">
      <c r="C52" s="2"/>
      <c r="D52" s="2"/>
      <c r="E52" s="2"/>
      <c r="F52" s="2"/>
      <c r="G52" s="2"/>
      <c r="I52" s="2"/>
      <c r="J52" s="2"/>
      <c r="K52" s="2"/>
      <c r="L52" s="2"/>
      <c r="M52" s="2"/>
    </row>
    <row r="53" spans="3:13" ht="19.05" customHeight="1">
      <c r="C53" s="2"/>
      <c r="D53" s="2"/>
      <c r="E53" s="2"/>
      <c r="F53" s="2"/>
      <c r="G53" s="2"/>
      <c r="I53" s="2"/>
      <c r="J53" s="2"/>
      <c r="K53" s="2"/>
      <c r="L53" s="2"/>
      <c r="M53" s="2"/>
    </row>
    <row r="54" spans="3:13" ht="19.05" customHeight="1">
      <c r="C54" s="2"/>
      <c r="D54" s="2"/>
      <c r="E54" s="2"/>
      <c r="F54" s="2"/>
      <c r="G54" s="2"/>
      <c r="I54" s="2"/>
      <c r="J54" s="2"/>
      <c r="K54" s="2"/>
      <c r="L54" s="2"/>
      <c r="M54" s="2"/>
    </row>
    <row r="55" spans="3:13" ht="19.05" customHeight="1">
      <c r="C55" s="2"/>
      <c r="D55" s="2"/>
      <c r="E55" s="2"/>
      <c r="F55" s="2"/>
      <c r="G55" s="2"/>
      <c r="I55" s="2"/>
      <c r="J55" s="2"/>
      <c r="K55" s="2"/>
      <c r="L55" s="2"/>
      <c r="M55" s="2"/>
    </row>
    <row r="56" spans="3:13" ht="19.05" customHeight="1">
      <c r="C56" s="2"/>
      <c r="D56" s="2"/>
      <c r="E56" s="2"/>
      <c r="F56" s="2"/>
      <c r="G56" s="2"/>
      <c r="I56" s="2"/>
      <c r="J56" s="2"/>
      <c r="K56" s="2"/>
      <c r="L56" s="2"/>
      <c r="M56" s="2"/>
    </row>
    <row r="57" spans="3:13" ht="19.05" customHeight="1">
      <c r="C57" s="2"/>
      <c r="D57" s="2"/>
      <c r="E57" s="2"/>
      <c r="F57" s="2"/>
      <c r="G57" s="2"/>
      <c r="I57" s="2"/>
      <c r="J57" s="2"/>
      <c r="K57" s="2"/>
      <c r="L57" s="2"/>
      <c r="M57" s="2"/>
    </row>
    <row r="58" spans="3:13" ht="19.05" customHeight="1">
      <c r="C58" s="2"/>
      <c r="D58" s="2"/>
      <c r="E58" s="2"/>
      <c r="F58" s="2"/>
      <c r="G58" s="2"/>
      <c r="I58" s="2"/>
      <c r="J58" s="2"/>
      <c r="K58" s="2"/>
      <c r="L58" s="2"/>
      <c r="M58" s="2"/>
    </row>
    <row r="59" spans="3:13" ht="19.05" customHeight="1">
      <c r="C59" s="2"/>
      <c r="D59" s="2"/>
      <c r="E59" s="2"/>
      <c r="F59" s="2"/>
      <c r="G59" s="2"/>
      <c r="I59" s="2"/>
      <c r="J59" s="2"/>
      <c r="K59" s="2"/>
      <c r="L59" s="2"/>
      <c r="M59" s="2"/>
    </row>
    <row r="60" spans="3:13" ht="19.05" customHeight="1">
      <c r="C60" s="2"/>
      <c r="D60" s="2"/>
      <c r="E60" s="2"/>
      <c r="F60" s="2"/>
      <c r="G60" s="2"/>
      <c r="I60" s="2"/>
      <c r="J60" s="2"/>
      <c r="K60" s="2"/>
      <c r="L60" s="2"/>
      <c r="M60" s="2"/>
    </row>
    <row r="61" spans="3:13" ht="19.05" customHeight="1">
      <c r="C61" s="2"/>
      <c r="D61" s="2"/>
      <c r="E61" s="2"/>
      <c r="F61" s="2"/>
      <c r="G61" s="2"/>
      <c r="I61" s="2"/>
      <c r="J61" s="2"/>
      <c r="K61" s="2"/>
      <c r="L61" s="2"/>
      <c r="M61" s="2"/>
    </row>
    <row r="62" spans="3:13" ht="19.05" customHeight="1">
      <c r="C62" s="2"/>
      <c r="D62" s="2"/>
      <c r="E62" s="2"/>
      <c r="F62" s="2"/>
      <c r="G62" s="2"/>
      <c r="I62" s="2"/>
      <c r="J62" s="2"/>
      <c r="K62" s="2"/>
      <c r="L62" s="2"/>
      <c r="M62" s="2"/>
    </row>
    <row r="63" spans="3:13" ht="19.05" customHeight="1">
      <c r="C63" s="2"/>
      <c r="D63" s="2"/>
      <c r="E63" s="2"/>
      <c r="F63" s="2"/>
      <c r="G63" s="2"/>
      <c r="I63" s="2"/>
      <c r="J63" s="2"/>
      <c r="K63" s="2"/>
      <c r="L63" s="2"/>
      <c r="M63" s="2"/>
    </row>
    <row r="64" spans="3:13" ht="19.05" customHeight="1">
      <c r="C64" s="2"/>
      <c r="G64" s="2"/>
      <c r="I64" s="2"/>
      <c r="J64" s="2"/>
      <c r="K64" s="2"/>
      <c r="L64" s="2"/>
      <c r="M64" s="2"/>
    </row>
    <row r="65" spans="3:13" ht="19.05" customHeight="1">
      <c r="C65" s="2"/>
      <c r="G65" s="2"/>
      <c r="I65" s="2"/>
      <c r="J65" s="2"/>
      <c r="K65" s="2"/>
      <c r="L65" s="2"/>
      <c r="M65" s="2"/>
    </row>
    <row r="66" spans="3:13" ht="19.05" customHeight="1">
      <c r="C66" s="2"/>
      <c r="G66" s="2"/>
      <c r="I66" s="2"/>
      <c r="M66" s="2"/>
    </row>
    <row r="67" spans="3:13" ht="19.05" customHeight="1">
      <c r="C67" s="2"/>
      <c r="G67" s="2"/>
      <c r="I67" s="2"/>
      <c r="M67" s="2"/>
    </row>
    <row r="68" spans="3:13" ht="19.05" customHeight="1">
      <c r="C68" s="2"/>
      <c r="G68" s="2"/>
      <c r="I68" s="2"/>
      <c r="M68" s="2"/>
    </row>
    <row r="69" spans="3:13" ht="19.05" customHeight="1">
      <c r="C69" s="2"/>
      <c r="G69" s="2"/>
      <c r="I69" s="2"/>
      <c r="M69" s="2"/>
    </row>
    <row r="70" spans="3:13" ht="19.05" customHeight="1">
      <c r="C70" s="2"/>
      <c r="G70" s="2"/>
      <c r="I70" s="2"/>
      <c r="M70" s="2"/>
    </row>
    <row r="71" spans="3:13" ht="19.05" customHeight="1">
      <c r="C71" s="2"/>
      <c r="G71" s="2"/>
      <c r="I71" s="2"/>
      <c r="M71" s="2"/>
    </row>
  </sheetData>
  <mergeCells count="17">
    <mergeCell ref="D18:F18"/>
    <mergeCell ref="J18:L18"/>
    <mergeCell ref="E13:F13"/>
    <mergeCell ref="K9:L9"/>
    <mergeCell ref="K10:L10"/>
    <mergeCell ref="K11:L11"/>
    <mergeCell ref="K12:L12"/>
    <mergeCell ref="D6:E6"/>
    <mergeCell ref="J6:K6"/>
    <mergeCell ref="D17:E17"/>
    <mergeCell ref="J17:K17"/>
    <mergeCell ref="J7:L7"/>
    <mergeCell ref="D7:F7"/>
    <mergeCell ref="E9:F9"/>
    <mergeCell ref="E10:F10"/>
    <mergeCell ref="E11:F11"/>
    <mergeCell ref="E12:F12"/>
  </mergeCells>
  <phoneticPr fontId="14" type="noConversion"/>
  <hyperlinks>
    <hyperlink ref="E12" r:id="rId1" xr:uid="{69E0D4A9-F6DE-4CB5-878E-BD1E4A249E9E}"/>
    <hyperlink ref="E13" r:id="rId2" xr:uid="{FB4ACCED-90C1-476D-BA54-D1ED298B1C6F}"/>
  </hyperlinks>
  <pageMargins left="0.7" right="0.7" top="0.75" bottom="0.75" header="0.3" footer="0.3"/>
  <pageSetup paperSize="9" orientation="portrait" r:id="rId3"/>
  <drawing r:id="rId4"/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4</vt:i4>
      </vt:variant>
    </vt:vector>
  </HeadingPairs>
  <TitlesOfParts>
    <vt:vector size="12" baseType="lpstr">
      <vt:lpstr>Dashboard</vt:lpstr>
      <vt:lpstr>Traitement</vt:lpstr>
      <vt:lpstr>Devis</vt:lpstr>
      <vt:lpstr>Commande</vt:lpstr>
      <vt:lpstr>Livraison</vt:lpstr>
      <vt:lpstr>Facture</vt:lpstr>
      <vt:lpstr>Liste Factures</vt:lpstr>
      <vt:lpstr>Parameters</vt:lpstr>
      <vt:lpstr>Commande!Zone_d_impression</vt:lpstr>
      <vt:lpstr>Devis!Zone_d_impression</vt:lpstr>
      <vt:lpstr>Facture!Zone_d_impression</vt:lpstr>
      <vt:lpstr>Livraison!Zone_d_impression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Bahi</dc:creator>
  <cp:lastModifiedBy>MOULOLO</cp:lastModifiedBy>
  <cp:lastPrinted>2024-11-17T17:27:15Z</cp:lastPrinted>
  <dcterms:created xsi:type="dcterms:W3CDTF">2015-06-05T18:19:34Z</dcterms:created>
  <dcterms:modified xsi:type="dcterms:W3CDTF">2024-11-17T18:21:46Z</dcterms:modified>
</cp:coreProperties>
</file>